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0efa646415341c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struzioni" sheetId="1" r:id="Re0f0b1d09937498c"/>
    <x:sheet xmlns:r="http://schemas.openxmlformats.org/officeDocument/2006/relationships" name="Config" sheetId="2" r:id="R42f9c2c3dc8c4922"/>
    <x:sheet xmlns:r="http://schemas.openxmlformats.org/officeDocument/2006/relationships" name="Giocatori" sheetId="3" r:id="Rff5e86cf8ad94658"/>
    <x:sheet xmlns:r="http://schemas.openxmlformats.org/officeDocument/2006/relationships" name="Risultati_50" sheetId="4" r:id="R368bafa9e3034623"/>
    <x:sheet xmlns:r="http://schemas.openxmlformats.org/officeDocument/2006/relationships" name="Risultati_55" sheetId="5" r:id="Re72b84a2a5414d07"/>
    <x:sheet xmlns:r="http://schemas.openxmlformats.org/officeDocument/2006/relationships" name="Risultati_60" sheetId="6" r:id="R001140865aea4a78"/>
    <x:sheet xmlns:r="http://schemas.openxmlformats.org/officeDocument/2006/relationships" name="Risultati_65" sheetId="7" r:id="R5a13099bc65c4e06"/>
    <x:sheet xmlns:r="http://schemas.openxmlformats.org/officeDocument/2006/relationships" name="Risultati_70" sheetId="8" r:id="R4c454ed1de9a439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8">
    <x:font>
      <x:sz val="11"/>
      <x:name val="Carlito"/>
    </x:font>
    <x:font>
      <x:b/>
      <x:sz val="16"/>
      <x:color rgb="FFFFFFFF"/>
      <x:name val="Carlito"/>
    </x:font>
    <x:font>
      <x:b/>
      <x:sz val="11"/>
      <x:color rgb="FF8B0D13"/>
      <x:name val="Carlito"/>
    </x:font>
    <x:font>
      <x:b/>
      <x:sz val="11"/>
      <x:color rgb="FF2A2020"/>
      <x:name val="Carlito"/>
    </x:font>
    <x:font>
      <x:i/>
      <x:sz val="11"/>
      <x:color rgb="FF2A2020"/>
      <x:name val="Carlito"/>
    </x:font>
    <x:font>
      <x:b/>
      <x:sz val="15"/>
      <x:color rgb="FFFFFFFF"/>
      <x:name val="Carlito"/>
    </x:font>
    <x:font>
      <x:b/>
      <x:sz val="11"/>
      <x:color rgb="FFFFFFFF"/>
      <x:name val="Carlito"/>
    </x:font>
    <x:font>
      <x:sz val="11"/>
      <x:color rgb="FF555555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8B0D13"/>
      </x:patternFill>
    </x:fill>
    <x:fill>
      <x:patternFill patternType="solid">
        <x:fgColor rgb="FFF7E8E8"/>
      </x:patternFill>
    </x:fill>
    <x:fill>
      <x:patternFill patternType="solid">
        <x:fgColor rgb="FFD4A63A"/>
      </x:patternFill>
    </x:fill>
    <x:fill>
      <x:patternFill patternType="solid">
        <x:fgColor rgb="FFFFF8ED"/>
      </x:patternFill>
    </x:fill>
    <x:fill>
      <x:patternFill patternType="solid">
        <x:fgColor rgb="FFFFF4CF"/>
      </x:patternFill>
    </x:fill>
    <x:fill>
      <x:patternFill patternType="solid">
        <x:fgColor rgb="FFF3F4F6"/>
      </x:patternFill>
    </x:fill>
  </x:fills>
  <x:borders count="6">
    <x:border/>
    <x:border/>
    <x:border/>
    <x:border/>
    <x:border/>
    <x:border/>
  </x:borders>
  <x:cellStyleXfs count="1">
    <x:xf numFmtId="0" fontId="0" fillId="0" borderId="0"/>
  </x:cellStyleXfs>
  <x:cellXfs count="8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2" fillId="3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horizontal="center" wrapText="1"/>
    </x:xf>
    <x:xf numFmtId="0" fontId="0" fillId="0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3" fillId="4" borderId="1" xfId="0" applyNumberFormat="1" applyFont="1" applyFill="1" applyBorder="1" applyAlignment="1">
      <x:alignment horizontal="center" wrapText="1"/>
    </x:xf>
    <x:xf numFmtId="0" fontId="0" fillId="0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wrapText="1"/>
    </x:xf>
    <x:xf numFmtId="0" fontId="1" fillId="2" borderId="2" xfId="0" applyNumberFormat="1" applyFont="1" applyFill="1" applyBorder="1" applyAlignment="1">
      <x:alignment horizontal="center" vertical="center"/>
    </x:xf>
    <x:xf numFmtId="0" fontId="0" fillId="0" borderId="2" xfId="0" applyNumberFormat="1" applyFont="1" applyFill="1" applyBorder="1"/>
    <x:xf numFmtId="0" fontId="2" fillId="3" borderId="2" xfId="0" applyNumberFormat="1" applyFont="1" applyFill="1" applyBorder="1" applyAlignment="1">
      <x:alignment vertical="center" wrapText="1"/>
    </x:xf>
    <x:xf numFmtId="0" fontId="3" fillId="4" borderId="2" xfId="0" applyNumberFormat="1" applyFont="1" applyFill="1" applyBorder="1" applyAlignment="1">
      <x:alignment horizontal="center" wrapText="1"/>
    </x:xf>
    <x:xf numFmtId="0" fontId="0" fillId="0" borderId="2" xfId="0" applyNumberFormat="1" applyFont="1" applyFill="1" applyBorder="1" applyAlignment="1">
      <x:alignment wrapText="1"/>
    </x:xf>
    <x:xf numFmtId="0" fontId="4" fillId="5" borderId="2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wrapText="1"/>
    </x:xf>
    <x:xf numFmtId="0" fontId="1" fillId="2" borderId="3" xfId="0" applyNumberFormat="1" applyFont="1" applyFill="1" applyBorder="1" applyAlignment="1">
      <x:alignment horizontal="center" vertical="center"/>
    </x:xf>
    <x:xf numFmtId="0" fontId="0" fillId="0" borderId="3" xfId="0" applyNumberFormat="1" applyFont="1" applyFill="1" applyBorder="1"/>
    <x:xf numFmtId="0" fontId="2" fillId="3" borderId="3" xfId="0" applyNumberFormat="1" applyFont="1" applyFill="1" applyBorder="1" applyAlignment="1">
      <x:alignment vertical="center" wrapText="1"/>
    </x:xf>
    <x:xf numFmtId="0" fontId="3" fillId="4" borderId="3" xfId="0" applyNumberFormat="1" applyFont="1" applyFill="1" applyBorder="1" applyAlignment="1">
      <x:alignment horizontal="center" wrapText="1"/>
    </x:xf>
    <x:xf numFmtId="0" fontId="0" fillId="0" borderId="3" xfId="0" applyNumberFormat="1" applyFont="1" applyFill="1" applyBorder="1" applyAlignment="1">
      <x:alignment wrapText="1"/>
    </x:xf>
    <x:xf numFmtId="0" fontId="4" fillId="5" borderId="3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horizontal="center"/>
    </x:xf>
    <x:xf numFmtId="0" fontId="5" fillId="2" borderId="1" xfId="0" applyNumberFormat="1" applyFont="1" applyFill="1" applyBorder="1"/>
    <x:xf numFmtId="0" fontId="5" fillId="2" borderId="1" xfId="0" applyNumberFormat="1" applyFont="1" applyFill="1" applyBorder="1" applyAlignment="1">
      <x:alignment horizontal="center"/>
    </x:xf>
    <x:xf numFmtId="0" fontId="6" fillId="2" borderId="0" xfId="0" applyNumberFormat="1" applyFont="1" applyFill="1" applyBorder="1"/>
    <x:xf numFmtId="0" fontId="6" fillId="2" borderId="0" xfId="0" applyNumberFormat="1" applyFont="1" applyFill="1" applyBorder="1" applyAlignment="1">
      <x:alignment horizontal="center"/>
    </x:xf>
    <x:xf numFmtId="0" fontId="6" fillId="2" borderId="0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/>
    <x:xf numFmtId="0" fontId="6" fillId="2" borderId="1" xfId="0" applyNumberFormat="1" applyFont="1" applyFill="1" applyBorder="1" applyAlignment="1">
      <x:alignment horizontal="center"/>
    </x:xf>
    <x:xf numFmtId="0" fontId="6" fillId="2" borderId="1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0" fillId="6" borderId="1" xfId="0" applyNumberFormat="1" applyFont="1" applyFill="1" applyBorder="1"/>
    <x:xf numFmtId="0" fontId="6" fillId="2" borderId="2" xfId="0" applyNumberFormat="1" applyFont="1" applyFill="1" applyBorder="1" applyAlignment="1">
      <x:alignment horizontal="center" vertical="center"/>
    </x:xf>
    <x:xf numFmtId="0" fontId="0" fillId="6" borderId="2" xfId="0" applyNumberFormat="1" applyFont="1" applyFill="1" applyBorder="1"/>
    <x:xf numFmtId="0" fontId="6" fillId="2" borderId="3" xfId="0" applyNumberFormat="1" applyFont="1" applyFill="1" applyBorder="1" applyAlignment="1">
      <x:alignment horizontal="center" vertical="center"/>
    </x:xf>
    <x:xf numFmtId="0" fontId="0" fillId="6" borderId="3" xfId="0" applyNumberFormat="1" applyFont="1" applyFill="1" applyBorder="1"/>
    <x:xf numFmtId="0" fontId="5" fillId="2" borderId="0" xfId="0" applyNumberFormat="1" applyFont="1" applyFill="1" applyBorder="1" applyAlignment="1">
      <x:alignment horizontal="center" wrapText="1"/>
    </x:xf>
    <x:xf numFmtId="0" fontId="5" fillId="2" borderId="1" xfId="0" applyNumberFormat="1" applyFont="1" applyFill="1" applyBorder="1" applyAlignment="1">
      <x:alignment horizontal="center" wrapText="1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0" fillId="7" borderId="1" xfId="0" applyNumberFormat="1" applyFont="1" applyFill="1" applyBorder="1"/>
    <x:xf numFmtId="0" fontId="7" fillId="7" borderId="1" xfId="0" applyNumberFormat="1" applyFont="1" applyFill="1" applyBorder="1"/>
    <x:xf numFmtId="0" fontId="7" fillId="7" borderId="2" xfId="0" applyNumberFormat="1" applyFont="1" applyFill="1" applyBorder="1"/>
    <x:xf numFmtId="0" fontId="7" fillId="7" borderId="3" xfId="0" applyNumberFormat="1" applyFont="1" applyFill="1" applyBorder="1"/>
    <x:xf numFmtId="0" fontId="4" fillId="5" borderId="0" xfId="0" applyNumberFormat="1" applyFont="1" applyFill="1" applyBorder="1" applyAlignment="1">
      <x:alignment horizontal="left"/>
    </x:xf>
    <x:xf numFmtId="0" fontId="4" fillId="5" borderId="1" xfId="0" applyNumberFormat="1" applyFont="1" applyFill="1" applyBorder="1" applyAlignment="1">
      <x:alignment horizontal="left"/>
    </x:xf>
    <x:xf numFmtId="0" fontId="7" fillId="7" borderId="4" xfId="0" applyNumberFormat="1" applyFont="1" applyFill="1" applyBorder="1"/>
    <x:xf numFmtId="0" fontId="0" fillId="6" borderId="4" xfId="0" applyNumberFormat="1" applyFont="1" applyFill="1" applyBorder="1"/>
    <x:xf numFmtId="0" fontId="7" fillId="7" borderId="5" xfId="0" applyNumberFormat="1" applyFont="1" applyFill="1" applyBorder="1"/>
    <x:xf numFmtId="0" fontId="0" fillId="6" borderId="5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d8bdb14f7cb47e2" /><Relationship Type="http://schemas.openxmlformats.org/officeDocument/2006/relationships/theme" Target="/xl/theme/theme1.xml" Id="R61c87736efb746ff" /><Relationship Type="http://schemas.openxmlformats.org/officeDocument/2006/relationships/sharedStrings" Target="/xl/sharedStrings.xml" Id="Re7661fcde52c41f6" /><Relationship Type="http://schemas.openxmlformats.org/officeDocument/2006/relationships/worksheet" Target="/xl/worksheets/sheet1.xml" Id="Re0f0b1d09937498c" /><Relationship Type="http://schemas.openxmlformats.org/officeDocument/2006/relationships/worksheet" Target="/xl/worksheets/sheet2.xml" Id="R42f9c2c3dc8c4922" /><Relationship Type="http://schemas.openxmlformats.org/officeDocument/2006/relationships/worksheet" Target="/xl/worksheets/sheet3.xml" Id="Rff5e86cf8ad94658" /><Relationship Type="http://schemas.openxmlformats.org/officeDocument/2006/relationships/worksheet" Target="/xl/worksheets/sheet4.xml" Id="R368bafa9e3034623" /><Relationship Type="http://schemas.openxmlformats.org/officeDocument/2006/relationships/worksheet" Target="/xl/worksheets/sheet5.xml" Id="Re72b84a2a5414d07" /><Relationship Type="http://schemas.openxmlformats.org/officeDocument/2006/relationships/worksheet" Target="/xl/worksheets/sheet6.xml" Id="R001140865aea4a78" /><Relationship Type="http://schemas.openxmlformats.org/officeDocument/2006/relationships/worksheet" Target="/xl/worksheets/sheet7.xml" Id="R5a13099bc65c4e06" /><Relationship Type="http://schemas.openxmlformats.org/officeDocument/2006/relationships/worksheet" Target="/xl/worksheets/sheet8.xml" Id="R4c454ed1de9a4392" /></Relationships>
</file>

<file path=xl/tables/table1.xml><?xml version="1.0" encoding="utf-8"?>
<x:table xmlns:x="http://schemas.openxmlformats.org/spreadsheetml/2006/main" id="1" name="GiocatoriTable" displayName="GiocatoriTable" ref="A3:D73" headerRowCount="1">
  <x:tableColumns count="4">
    <x:tableColumn id="1" name="ID"/>
    <x:tableColumn id="2" name="Nome e cognome"/>
    <x:tableColumn id="3" name="Soprannome (facoltativo)"/>
    <x:tableColumn id="4" name="Note"/>
  </x:tableColumns>
  <x:tableStyleInfo name="TableStyleMedium2" showRowStripes="1"/>
</x:table>
</file>

<file path=xl/tables/table2.xml><?xml version="1.0" encoding="utf-8"?>
<x:table xmlns:x="http://schemas.openxmlformats.org/spreadsheetml/2006/main" id="2" name="Risultati50Table" displayName="Risultati50Table" ref="A4:J154" headerRowCount="1">
  <x:tableColumns count="10">
    <x:tableColumn id="1" name="Turno"/>
    <x:tableColumn id="2" name="Tavolo"/>
    <x:tableColumn id="3" name="Sedia"/>
    <x:tableColumn id="4" name="Giocatore ID"/>
    <x:tableColumn id="5" name="Nome"/>
    <x:tableColumn id="6" name="Punti partita"/>
    <x:tableColumn id="7" name="Posizione"/>
    <x:tableColumn id="8" name="Sóle"/>
    <x:tableColumn id="9" name="Punti classifica"/>
    <x:tableColumn id="10" name="Note"/>
  </x:tableColumns>
  <x:tableStyleInfo name="TableStyleMedium2" showRowStripes="1"/>
</x:table>
</file>

<file path=xl/tables/table3.xml><?xml version="1.0" encoding="utf-8"?>
<x:table xmlns:x="http://schemas.openxmlformats.org/spreadsheetml/2006/main" id="3" name="Risultati55Table" displayName="Risultati55Table" ref="A4:J169" headerRowCount="1">
  <x:tableColumns count="10">
    <x:tableColumn id="1" name="Turno"/>
    <x:tableColumn id="2" name="Tavolo"/>
    <x:tableColumn id="3" name="Sedia"/>
    <x:tableColumn id="4" name="Giocatore ID"/>
    <x:tableColumn id="5" name="Nome"/>
    <x:tableColumn id="6" name="Punti partita"/>
    <x:tableColumn id="7" name="Posizione"/>
    <x:tableColumn id="8" name="Sóle"/>
    <x:tableColumn id="9" name="Punti classifica"/>
    <x:tableColumn id="10" name="Note"/>
  </x:tableColumns>
  <x:tableStyleInfo name="TableStyleMedium2" showRowStripes="1"/>
</x:table>
</file>

<file path=xl/tables/table4.xml><?xml version="1.0" encoding="utf-8"?>
<x:table xmlns:x="http://schemas.openxmlformats.org/spreadsheetml/2006/main" id="4" name="Risultati60Table" displayName="Risultati60Table" ref="A4:J184" headerRowCount="1">
  <x:tableColumns count="10">
    <x:tableColumn id="1" name="Turno"/>
    <x:tableColumn id="2" name="Tavolo"/>
    <x:tableColumn id="3" name="Sedia"/>
    <x:tableColumn id="4" name="Giocatore ID"/>
    <x:tableColumn id="5" name="Nome"/>
    <x:tableColumn id="6" name="Punti partita"/>
    <x:tableColumn id="7" name="Posizione"/>
    <x:tableColumn id="8" name="Sóle"/>
    <x:tableColumn id="9" name="Punti classifica"/>
    <x:tableColumn id="10" name="Note"/>
  </x:tableColumns>
  <x:tableStyleInfo name="TableStyleMedium2" showRowStripes="1"/>
</x:table>
</file>

<file path=xl/tables/table5.xml><?xml version="1.0" encoding="utf-8"?>
<x:table xmlns:x="http://schemas.openxmlformats.org/spreadsheetml/2006/main" id="5" name="Risultati65Table" displayName="Risultati65Table" ref="A4:J199" headerRowCount="1">
  <x:tableColumns count="10">
    <x:tableColumn id="1" name="Turno"/>
    <x:tableColumn id="2" name="Tavolo"/>
    <x:tableColumn id="3" name="Sedia"/>
    <x:tableColumn id="4" name="Giocatore ID"/>
    <x:tableColumn id="5" name="Nome"/>
    <x:tableColumn id="6" name="Punti partita"/>
    <x:tableColumn id="7" name="Posizione"/>
    <x:tableColumn id="8" name="Sóle"/>
    <x:tableColumn id="9" name="Punti classifica"/>
    <x:tableColumn id="10" name="Note"/>
  </x:tableColumns>
  <x:tableStyleInfo name="TableStyleMedium2" showRowStripes="1"/>
</x:table>
</file>

<file path=xl/tables/table6.xml><?xml version="1.0" encoding="utf-8"?>
<x:table xmlns:x="http://schemas.openxmlformats.org/spreadsheetml/2006/main" id="6" name="Risultati70Table" displayName="Risultati70Table" ref="A4:J214" headerRowCount="1">
  <x:tableColumns count="10">
    <x:tableColumn id="1" name="Turno"/>
    <x:tableColumn id="2" name="Tavolo"/>
    <x:tableColumn id="3" name="Sedia"/>
    <x:tableColumn id="4" name="Giocatore ID"/>
    <x:tableColumn id="5" name="Nome"/>
    <x:tableColumn id="6" name="Punti partita"/>
    <x:tableColumn id="7" name="Posizione"/>
    <x:tableColumn id="8" name="Sóle"/>
    <x:tableColumn id="9" name="Punti classifica"/>
    <x:tableColumn id="10" name="Note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aff70dcf3fc7458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df52776fa5954830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5813c624d23b48e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4c0c82bc78184c4f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5.xml" Id="R848b2d2269e54c4f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6.xml" Id="R539f6b97fb244244" /></Relationships>
</file>

<file path=xl/worksheets/sheet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</x:cols>
  <x:sheetData>
    <x:row r="1" ht="34" customHeight="1">
      <x:c r="A1" s="36" t="str">
        <x:v>TORNEO ASS 'E MAZZ - FILE DI AGGIORNAMENTO</x:v>
      </x:c>
      <x:c r="B1" s="36"/>
      <x:c r="C1" s="36"/>
      <x:c r="D1" s="36"/>
      <x:c r="E1" s="36"/>
      <x:c r="F1" s="36"/>
    </x:row>
    <x:row r="2">
      <x:c r="A2" s="37"/>
      <x:c r="B2" s="37"/>
      <x:c r="C2" s="37"/>
      <x:c r="D2" s="37"/>
      <x:c r="E2" s="37"/>
      <x:c r="F2" s="37"/>
    </x:row>
    <x:row r="3">
      <x:c r="A3" s="38" t="str">
        <x:v>COME USARE IL FILE</x:v>
      </x:c>
      <x:c r="B3" s="38"/>
      <x:c r="C3" s="38"/>
      <x:c r="D3" s="38"/>
      <x:c r="E3" s="38"/>
      <x:c r="F3" s="38"/>
    </x:row>
    <x:row r="4" ht="32" customHeight="1">
      <x:c r="A4" s="39" t="str">
        <x:v>1</x:v>
      </x:c>
      <x:c r="B4" s="40" t="str">
        <x:v>Apri il foglio Config e scegli il numero effettivo di giocatori: 50, 55, 60, 65 oppure 70.</x:v>
      </x:c>
      <x:c r="C4" s="40"/>
      <x:c r="D4" s="40"/>
      <x:c r="E4" s="40"/>
      <x:c r="F4" s="40"/>
    </x:row>
    <x:row r="5" ht="32" customHeight="1">
      <x:c r="A5" s="39" t="str">
        <x:v>2</x:v>
      </x:c>
      <x:c r="B5" s="40" t="str">
        <x:v>Nel foglio Giocatori inserisci i nomi accanto agli ID. Non modificare gli ID.</x:v>
      </x:c>
      <x:c r="C5" s="40"/>
      <x:c r="D5" s="40"/>
      <x:c r="E5" s="40"/>
      <x:c r="F5" s="40"/>
    </x:row>
    <x:row r="6" ht="32" customHeight="1">
      <x:c r="A6" s="39" t="str">
        <x:v>3</x:v>
      </x:c>
      <x:c r="B6" s="40" t="str">
        <x:v>Apri il foglio Risultati corrispondente al numero di giocatori selezionato.</x:v>
      </x:c>
      <x:c r="C6" s="40"/>
      <x:c r="D6" s="40"/>
      <x:c r="E6" s="40"/>
      <x:c r="F6" s="40"/>
    </x:row>
    <x:row r="7" ht="32" customHeight="1">
      <x:c r="A7" s="39" t="str">
        <x:v>4</x:v>
      </x:c>
      <x:c r="B7" s="40" t="str">
        <x:v>Dopo ogni tavolo compila solo le colonne gialle: Punti partita, Posizione, Sóle e Note.</x:v>
      </x:c>
      <x:c r="C7" s="40"/>
      <x:c r="D7" s="40"/>
      <x:c r="E7" s="40"/>
      <x:c r="F7" s="40"/>
    </x:row>
    <x:row r="8" ht="32" customHeight="1">
      <x:c r="A8" s="39" t="str">
        <x:v>5</x:v>
      </x:c>
      <x:c r="B8" s="40" t="str">
        <x:v>Salva il file con il nome torneo.xlsx e sostituiscilo nella cartella data del sito GitHub Pages.</x:v>
      </x:c>
      <x:c r="C8" s="40"/>
      <x:c r="D8" s="40"/>
      <x:c r="E8" s="40"/>
      <x:c r="F8" s="40"/>
    </x:row>
    <x:row r="9" ht="32" customHeight="1">
      <x:c r="A9" s="39" t="str"/>
      <x:c r="B9" s="40" t="str">
        <x:v>La classifica sul sito applica automaticamente: punti 9-6-4-2-1, bonus +2 per ogni sóla e i criteri di spareggio del regolamento.</x:v>
      </x:c>
      <x:c r="C9" s="40"/>
      <x:c r="D9" s="40"/>
      <x:c r="E9" s="40"/>
      <x:c r="F9" s="40"/>
    </x:row>
    <x:row r="10" ht="32" customHeight="1">
      <x:c r="A10" s="41" t="str">
        <x:v>ATTENZIONE</x:v>
      </x:c>
      <x:c r="B10" s="41" t="str">
        <x:v>In caso di perfetta parità dopo tutti i criteri regolamentari, il sito segnala che è necessario il sorteggio.</x:v>
      </x:c>
      <x:c r="C10" s="41"/>
      <x:c r="D10" s="41"/>
      <x:c r="E10" s="41"/>
      <x:c r="F10" s="41"/>
    </x:row>
    <x:row r="11" ht="32" customHeight="1">
      <x:c r="A11" s="42"/>
      <x:c r="B11" s="42"/>
      <x:c r="C11" s="42"/>
      <x:c r="D11" s="42"/>
      <x:c r="E11" s="42"/>
      <x:c r="F11" s="42"/>
    </x:row>
  </x:sheetData>
  <x:mergeCells>
    <x:mergeCell ref="A1:F1"/>
    <x:mergeCell ref="A3:F3"/>
    <x:mergeCell ref="B4:F4"/>
    <x:mergeCell ref="B5:F5"/>
    <x:mergeCell ref="B6:F6"/>
    <x:mergeCell ref="B7:F7"/>
    <x:mergeCell ref="B8:F8"/>
    <x:mergeCell ref="B9:F9"/>
    <x:mergeCell ref="B10:F10"/>
    <x:mergeCell ref="B11:F1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8" hidden="0" customWidth="1"/>
    <x:col min="3" max="3" width="48" hidden="0" customWidth="1"/>
    <x:col min="4" max="4" width="28" hidden="0" customWidth="1"/>
  </x:cols>
  <x:sheetData>
    <x:row r="1" ht="30" customHeight="1">
      <x:c r="A1" s="66" t="str">
        <x:v>CONFIGURAZIONE TORNEO</x:v>
      </x:c>
      <x:c r="B1" s="66"/>
      <x:c r="C1" s="66"/>
      <x:c r="D1" s="66"/>
    </x:row>
    <x:row r="3">
      <x:c r="A3" s="62" t="str">
        <x:v>Chiave</x:v>
      </x:c>
      <x:c r="B3" s="62" t="str">
        <x:v>Valore</x:v>
      </x:c>
      <x:c r="C3" s="62" t="str">
        <x:v>Descrizione</x:v>
      </x:c>
      <x:c r="D3" s="62" t="str">
        <x:v>Da modificare?</x:v>
      </x:c>
    </x:row>
    <x:row r="4">
      <x:c r="A4" s="37" t="str">
        <x:v>Nome torneo</x:v>
      </x:c>
      <x:c r="B4" s="63" t="str">
        <x:v>Torneo Ass 'e Mazz 2026</x:v>
      </x:c>
      <x:c r="C4" s="37" t="str">
        <x:v>Titolo mostrato sul sito</x:v>
      </x:c>
      <x:c r="D4" s="37" t="str">
        <x:v>Sì</x:v>
      </x:c>
    </x:row>
    <x:row r="5">
      <x:c r="A5" s="37" t="str">
        <x:v>Numero giocatori</x:v>
      </x:c>
      <x:c r="B5" s="63" t="n">
        <x:v>65</x:v>
      </x:c>
      <x:c r="C5" s="37" t="str">
        <x:v>Scegliere 50, 55, 60, 65 oppure 70</x:v>
      </x:c>
      <x:c r="D5" s="37" t="str">
        <x:v>Sì</x:v>
      </x:c>
    </x:row>
    <x:row r="6">
      <x:c r="A6" s="37" t="str">
        <x:v>Posti qualificazione</x:v>
      </x:c>
      <x:c r="B6" s="63" t="n">
        <x:v>25</x:v>
      </x:c>
      <x:c r="C6" s="37" t="str">
        <x:v>Numero di giocatori evidenziati come qualificati</x:v>
      </x:c>
      <x:c r="D6" s="37" t="str">
        <x:v>Solo se cambia il regolamento</x:v>
      </x:c>
    </x:row>
    <x:row r="7">
      <x:c r="A7" s="37" t="str">
        <x:v>Fase</x:v>
      </x:c>
      <x:c r="B7" s="63" t="str">
        <x:v>Eliminatorie</x:v>
      </x:c>
      <x:c r="C7" s="37" t="str">
        <x:v>Testo visualizzato nella testata</x:v>
      </x:c>
      <x:c r="D7" s="37" t="str">
        <x:v>Sì</x:v>
      </x:c>
    </x:row>
    <x:row r="8">
      <x:c r="A8" s="37"/>
      <x:c r="B8" s="63"/>
      <x:c r="C8" s="37"/>
      <x:c r="D8" s="37"/>
    </x:row>
    <x:row r="9">
      <x:c r="A9" s="37"/>
      <x:c r="B9" s="63"/>
      <x:c r="C9" s="37"/>
      <x:c r="D9" s="37"/>
    </x:row>
    <x:row r="10">
      <x:c r="A10" s="37"/>
      <x:c r="B10" s="63"/>
      <x:c r="C10" s="37"/>
      <x:c r="D10" s="37"/>
    </x:row>
  </x:sheetData>
  <x:mergeCells>
    <x:mergeCell ref="A1:D1"/>
  </x:mergeCells>
  <x:dataValidations count="2">
    <x:dataValidation type="list" sqref="B5">
      <x:formula1>"50,55,60,65,70"</x:formula1>
    </x:dataValidation>
    <x:dataValidation type="list" sqref="B6">
      <x:formula1>"0,1,2,3"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30" hidden="0" customWidth="1"/>
    <x:col min="3" max="3" width="24" hidden="0" customWidth="1"/>
    <x:col min="4" max="4" width="34" hidden="0" customWidth="1"/>
  </x:cols>
  <x:sheetData>
    <x:row r="1" ht="30" customHeight="1">
      <x:c r="A1" s="51" t="str">
        <x:v>ELENCO GIOCATORI</x:v>
      </x:c>
      <x:c r="B1" s="51"/>
      <x:c r="C1" s="51"/>
      <x:c r="D1" s="51"/>
    </x:row>
    <x:row r="3">
      <x:c r="A3" s="62" t="str">
        <x:v>ID</x:v>
      </x:c>
      <x:c r="B3" s="62" t="str">
        <x:v>Nome e cognome</x:v>
      </x:c>
      <x:c r="C3" s="62" t="str">
        <x:v>Soprannome (facoltativo)</x:v>
      </x:c>
      <x:c r="D3" s="62" t="str">
        <x:v>Note</x:v>
      </x:c>
    </x:row>
    <x:row r="4">
      <x:c r="A4" s="72" t="n">
        <x:v>1</x:v>
      </x:c>
      <x:c r="B4" s="63" t="str">
        <x:v>Annunziata Michele</x:v>
      </x:c>
      <x:c r="C4" s="63" t="str"/>
      <x:c r="D4" s="63" t="str"/>
    </x:row>
    <x:row r="5">
      <x:c r="A5" s="72" t="n">
        <x:v>2</x:v>
      </x:c>
      <x:c r="B5" s="63" t="str">
        <x:v>La Marca Carlo</x:v>
      </x:c>
      <x:c r="C5" s="63" t="str"/>
      <x:c r="D5" s="63" t="str"/>
    </x:row>
    <x:row r="6">
      <x:c r="A6" s="72" t="n">
        <x:v>3</x:v>
      </x:c>
      <x:c r="B6" s="63" t="str">
        <x:v>Sommese Antonio</x:v>
      </x:c>
      <x:c r="C6" s="63" t="str"/>
      <x:c r="D6" s="63" t="str"/>
    </x:row>
    <x:row r="7">
      <x:c r="A7" s="72" t="n">
        <x:v>4</x:v>
      </x:c>
      <x:c r="B7" s="63" t="str">
        <x:v>Annunziata Raffaele</x:v>
      </x:c>
      <x:c r="C7" s="63" t="str"/>
      <x:c r="D7" s="63" t="str"/>
    </x:row>
    <x:row r="8">
      <x:c r="A8" s="72" t="n">
        <x:v>5</x:v>
      </x:c>
      <x:c r="B8" s="63" t="str">
        <x:v>La Marca Pasquale</x:v>
      </x:c>
      <x:c r="C8" s="63" t="str"/>
      <x:c r="D8" s="63" t="str"/>
    </x:row>
    <x:row r="9">
      <x:c r="A9" s="72" t="n">
        <x:v>6</x:v>
      </x:c>
      <x:c r="B9" s="63" t="str">
        <x:v>Panico Pasquale</x:v>
      </x:c>
      <x:c r="C9" s="63" t="str"/>
      <x:c r="D9" s="63" t="str"/>
    </x:row>
    <x:row r="10">
      <x:c r="A10" s="72" t="n">
        <x:v>7</x:v>
      </x:c>
      <x:c r="B10" s="63" t="str">
        <x:v>Ambrosino Michele</x:v>
      </x:c>
      <x:c r="C10" s="63" t="str"/>
      <x:c r="D10" s="63" t="str"/>
    </x:row>
    <x:row r="11">
      <x:c r="A11" s="72" t="n">
        <x:v>8</x:v>
      </x:c>
      <x:c r="B11" s="63" t="str">
        <x:v>Ambrosino Raffaele</x:v>
      </x:c>
      <x:c r="C11" s="63" t="str"/>
      <x:c r="D11" s="63" t="str"/>
    </x:row>
    <x:row r="12">
      <x:c r="A12" s="72" t="n">
        <x:v>9</x:v>
      </x:c>
      <x:c r="B12" s="63" t="str">
        <x:v>Nappo Angelo</x:v>
      </x:c>
      <x:c r="C12" s="63" t="str"/>
      <x:c r="D12" s="63" t="str"/>
    </x:row>
    <x:row r="13">
      <x:c r="A13" s="72" t="n">
        <x:v>10</x:v>
      </x:c>
      <x:c r="B13" s="63" t="str">
        <x:v>Cavallaro Erasmo</x:v>
      </x:c>
      <x:c r="C13" s="63" t="str"/>
      <x:c r="D13" s="63" t="str"/>
    </x:row>
    <x:row r="14">
      <x:c r="A14" s="72" t="n">
        <x:v>11</x:v>
      </x:c>
      <x:c r="B14" s="63" t="str">
        <x:v>Notaro Giacomo</x:v>
      </x:c>
      <x:c r="C14" s="63" t="str"/>
      <x:c r="D14" s="63" t="str"/>
    </x:row>
    <x:row r="15">
      <x:c r="A15" s="72" t="n">
        <x:v>12</x:v>
      </x:c>
      <x:c r="B15" s="63" t="str">
        <x:v>Scognamiglio Alfredo</x:v>
      </x:c>
      <x:c r="C15" s="63" t="str"/>
      <x:c r="D15" s="63" t="str"/>
    </x:row>
    <x:row r="16">
      <x:c r="A16" s="72" t="n">
        <x:v>13</x:v>
      </x:c>
      <x:c r="B16" s="63" t="str">
        <x:v>Del Vecchio Diego</x:v>
      </x:c>
      <x:c r="C16" s="63" t="str"/>
      <x:c r="D16" s="63" t="str"/>
    </x:row>
    <x:row r="17">
      <x:c r="A17" s="72" t="n">
        <x:v>14</x:v>
      </x:c>
      <x:c r="B17" s="63" t="str">
        <x:v>Beracci Lucio</x:v>
      </x:c>
      <x:c r="C17" s="63" t="str"/>
      <x:c r="D17" s="63" t="str"/>
    </x:row>
    <x:row r="18">
      <x:c r="A18" s="72" t="n">
        <x:v>15</x:v>
      </x:c>
      <x:c r="B18" s="63" t="str">
        <x:v>De Falco Andrea</x:v>
      </x:c>
      <x:c r="C18" s="63" t="str"/>
      <x:c r="D18" s="63" t="str"/>
    </x:row>
    <x:row r="19">
      <x:c r="A19" s="72" t="n">
        <x:v>16</x:v>
      </x:c>
      <x:c r="B19" s="63" t="str">
        <x:v>Beracci Benedetto</x:v>
      </x:c>
      <x:c r="C19" s="63" t="str"/>
      <x:c r="D19" s="63" t="str"/>
    </x:row>
    <x:row r="20">
      <x:c r="A20" s="72" t="n">
        <x:v>17</x:v>
      </x:c>
      <x:c r="B20" s="63" t="str">
        <x:v>Tufano Giovanni</x:v>
      </x:c>
      <x:c r="C20" s="63" t="str"/>
      <x:c r="D20" s="63" t="str"/>
    </x:row>
    <x:row r="21">
      <x:c r="A21" s="72" t="n">
        <x:v>18</x:v>
      </x:c>
      <x:c r="B21" s="63" t="str">
        <x:v>Ambrosino Gabriele</x:v>
      </x:c>
      <x:c r="C21" s="63" t="str"/>
      <x:c r="D21" s="63" t="str"/>
    </x:row>
    <x:row r="22">
      <x:c r="A22" s="72" t="n">
        <x:v>19</x:v>
      </x:c>
      <x:c r="B22" s="63" t="str">
        <x:v>Strocchia Franco</x:v>
      </x:c>
      <x:c r="C22" s="63" t="str"/>
      <x:c r="D22" s="63" t="str"/>
    </x:row>
    <x:row r="23">
      <x:c r="A23" s="72" t="n">
        <x:v>20</x:v>
      </x:c>
      <x:c r="B23" s="63" t="str">
        <x:v>Morelli Carmine</x:v>
      </x:c>
      <x:c r="C23" s="63" t="str"/>
      <x:c r="D23" s="63" t="str"/>
    </x:row>
    <x:row r="24">
      <x:c r="A24" s="72" t="n">
        <x:v>21</x:v>
      </x:c>
      <x:c r="B24" s="63" t="str">
        <x:v>Tufano Raffaele</x:v>
      </x:c>
      <x:c r="C24" s="63" t="str"/>
      <x:c r="D24" s="63" t="str"/>
    </x:row>
    <x:row r="25">
      <x:c r="A25" s="72" t="n">
        <x:v>22</x:v>
      </x:c>
      <x:c r="B25" s="63" t="str">
        <x:v>Napolitano Antonio</x:v>
      </x:c>
      <x:c r="C25" s="63" t="str"/>
      <x:c r="D25" s="63" t="str"/>
    </x:row>
    <x:row r="26">
      <x:c r="A26" s="72" t="n">
        <x:v>23</x:v>
      </x:c>
      <x:c r="B26" s="63" t="str">
        <x:v>Notaro Massimo</x:v>
      </x:c>
      <x:c r="C26" s="63" t="str"/>
      <x:c r="D26" s="63" t="str"/>
    </x:row>
    <x:row r="27">
      <x:c r="A27" s="72" t="n">
        <x:v>24</x:v>
      </x:c>
      <x:c r="B27" s="63" t="str">
        <x:v>Pierro Giuseppe</x:v>
      </x:c>
      <x:c r="C27" s="63" t="str"/>
      <x:c r="D27" s="63" t="str"/>
    </x:row>
    <x:row r="28">
      <x:c r="A28" s="72" t="n">
        <x:v>25</x:v>
      </x:c>
      <x:c r="B28" s="63" t="str">
        <x:v>Giugliano Francesco</x:v>
      </x:c>
      <x:c r="C28" s="63" t="str"/>
      <x:c r="D28" s="63" t="str"/>
    </x:row>
    <x:row r="29">
      <x:c r="A29" s="72" t="n">
        <x:v>26</x:v>
      </x:c>
      <x:c r="B29" s="63" t="str">
        <x:v>Gesso Marco</x:v>
      </x:c>
      <x:c r="C29" s="63" t="str"/>
      <x:c r="D29" s="63" t="str"/>
    </x:row>
    <x:row r="30">
      <x:c r="A30" s="72" t="n">
        <x:v>27</x:v>
      </x:c>
      <x:c r="B30" s="63" t="str">
        <x:v>Napolitano Angelo</x:v>
      </x:c>
      <x:c r="C30" s="63" t="str"/>
      <x:c r="D30" s="63" t="str"/>
    </x:row>
    <x:row r="31">
      <x:c r="A31" s="72" t="n">
        <x:v>28</x:v>
      </x:c>
      <x:c r="B31" s="63" t="str">
        <x:v>Fontanella Carmine</x:v>
      </x:c>
      <x:c r="C31" s="63" t="str"/>
      <x:c r="D31" s="63" t="str"/>
    </x:row>
    <x:row r="32">
      <x:c r="A32" s="72" t="n">
        <x:v>29</x:v>
      </x:c>
      <x:c r="B32" s="63" t="str">
        <x:v>Nappi Nestore</x:v>
      </x:c>
      <x:c r="C32" s="63" t="str"/>
      <x:c r="D32" s="63" t="str"/>
    </x:row>
    <x:row r="33">
      <x:c r="A33" s="72" t="n">
        <x:v>30</x:v>
      </x:c>
      <x:c r="B33" s="63" t="str">
        <x:v>Tufano Giuseppe</x:v>
      </x:c>
      <x:c r="C33" s="63" t="str"/>
      <x:c r="D33" s="63" t="str"/>
    </x:row>
    <x:row r="34">
      <x:c r="A34" s="72" t="n">
        <x:v>31</x:v>
      </x:c>
      <x:c r="B34" s="63" t="str">
        <x:v>Polacco Tommaso</x:v>
      </x:c>
      <x:c r="C34" s="63" t="str"/>
      <x:c r="D34" s="63" t="str"/>
    </x:row>
    <x:row r="35">
      <x:c r="A35" s="72" t="n">
        <x:v>32</x:v>
      </x:c>
      <x:c r="B35" s="63" t="str">
        <x:v>Marotta Pasquale</x:v>
      </x:c>
      <x:c r="C35" s="63" t="str"/>
      <x:c r="D35" s="63" t="str"/>
    </x:row>
    <x:row r="36">
      <x:c r="A36" s="72" t="n">
        <x:v>33</x:v>
      </x:c>
      <x:c r="B36" s="63" t="str">
        <x:v>Franzese Francesco</x:v>
      </x:c>
      <x:c r="C36" s="63" t="str"/>
      <x:c r="D36" s="63" t="str"/>
    </x:row>
    <x:row r="37">
      <x:c r="A37" s="72" t="n">
        <x:v>34</x:v>
      </x:c>
      <x:c r="B37" s="63" t="str">
        <x:v>Fontanella Giuseppe</x:v>
      </x:c>
      <x:c r="C37" s="63" t="str"/>
      <x:c r="D37" s="63" t="str"/>
    </x:row>
    <x:row r="38">
      <x:c r="A38" s="72" t="n">
        <x:v>35</x:v>
      </x:c>
      <x:c r="B38" s="63" t="str">
        <x:v>Panico Giuseppe</x:v>
      </x:c>
      <x:c r="C38" s="63" t="str"/>
      <x:c r="D38" s="63" t="str"/>
    </x:row>
    <x:row r="39">
      <x:c r="A39" s="72" t="n">
        <x:v>36</x:v>
      </x:c>
      <x:c r="B39" s="63" t="str">
        <x:v>Moccia Biagio</x:v>
      </x:c>
      <x:c r="C39" s="63" t="str"/>
      <x:c r="D39" s="63" t="str"/>
    </x:row>
    <x:row r="40">
      <x:c r="A40" s="72" t="n">
        <x:v>37</x:v>
      </x:c>
      <x:c r="B40" s="63" t="str">
        <x:v>Spallone Carmine</x:v>
      </x:c>
      <x:c r="C40" s="63" t="str"/>
      <x:c r="D40" s="63" t="str"/>
    </x:row>
    <x:row r="41">
      <x:c r="A41" s="72" t="n">
        <x:v>38</x:v>
      </x:c>
      <x:c r="B41" s="63" t="str">
        <x:v>Mauro Nicola</x:v>
      </x:c>
      <x:c r="C41" s="63" t="str"/>
      <x:c r="D41" s="63" t="str"/>
    </x:row>
    <x:row r="42">
      <x:c r="A42" s="72" t="n">
        <x:v>39</x:v>
      </x:c>
      <x:c r="B42" s="63" t="str">
        <x:v>Ambrosino Lello</x:v>
      </x:c>
      <x:c r="C42" s="63" t="str"/>
      <x:c r="D42" s="63" t="str"/>
    </x:row>
    <x:row r="43">
      <x:c r="A43" s="72" t="n">
        <x:v>40</x:v>
      </x:c>
      <x:c r="B43" s="63" t="str">
        <x:v>Carbone Felice</x:v>
      </x:c>
      <x:c r="C43" s="63" t="str"/>
      <x:c r="D43" s="63" t="str"/>
    </x:row>
    <x:row r="44">
      <x:c r="A44" s="72" t="n">
        <x:v>41</x:v>
      </x:c>
      <x:c r="B44" s="63" t="str">
        <x:v>Nocerino Nunzio</x:v>
      </x:c>
      <x:c r="C44" s="63" t="str"/>
      <x:c r="D44" s="63" t="str"/>
    </x:row>
    <x:row r="45">
      <x:c r="A45" s="72" t="n">
        <x:v>42</x:v>
      </x:c>
      <x:c r="B45" s="63" t="str">
        <x:v>Guerriero Giuseppe</x:v>
      </x:c>
      <x:c r="C45" s="63" t="str"/>
      <x:c r="D45" s="63" t="str"/>
    </x:row>
    <x:row r="46">
      <x:c r="A46" s="72" t="n">
        <x:v>43</x:v>
      </x:c>
      <x:c r="B46" s="63" t="str">
        <x:v>Ruotolo Sabatino</x:v>
      </x:c>
      <x:c r="C46" s="63" t="str"/>
      <x:c r="D46" s="63" t="str"/>
    </x:row>
    <x:row r="47">
      <x:c r="A47" s="72" t="n">
        <x:v>44</x:v>
      </x:c>
      <x:c r="B47" s="63" t="str">
        <x:v>Abbate Michele</x:v>
      </x:c>
      <x:c r="C47" s="63" t="str"/>
      <x:c r="D47" s="63" t="str"/>
    </x:row>
    <x:row r="48">
      <x:c r="A48" s="72" t="n">
        <x:v>45</x:v>
      </x:c>
      <x:c r="B48" s="63" t="str">
        <x:v>Isernia Antonio</x:v>
      </x:c>
      <x:c r="C48" s="63" t="str"/>
      <x:c r="D48" s="63" t="str"/>
    </x:row>
    <x:row r="49">
      <x:c r="A49" s="72" t="n">
        <x:v>46</x:v>
      </x:c>
      <x:c r="B49" s="63" t="str">
        <x:v>Cafarelli Manolo</x:v>
      </x:c>
      <x:c r="C49" s="63" t="str"/>
      <x:c r="D49" s="63" t="str"/>
    </x:row>
    <x:row r="50">
      <x:c r="A50" s="72" t="n">
        <x:v>47</x:v>
      </x:c>
      <x:c r="B50" s="63" t="str">
        <x:v>Casoria Felice</x:v>
      </x:c>
      <x:c r="C50" s="63" t="str"/>
      <x:c r="D50" s="63" t="str"/>
    </x:row>
    <x:row r="51">
      <x:c r="A51" s="72" t="n">
        <x:v>48</x:v>
      </x:c>
      <x:c r="B51" s="63" t="str">
        <x:v>Nspolitano Carlo</x:v>
      </x:c>
      <x:c r="C51" s="63" t="str"/>
      <x:c r="D51" s="63" t="str"/>
    </x:row>
    <x:row r="52">
      <x:c r="A52" s="72" t="n">
        <x:v>49</x:v>
      </x:c>
      <x:c r="B52" s="63" t="str">
        <x:v>Tufano Michele</x:v>
      </x:c>
      <x:c r="C52" s="63" t="str"/>
      <x:c r="D52" s="63" t="str"/>
    </x:row>
    <x:row r="53">
      <x:c r="A53" s="72" t="n">
        <x:v>50</x:v>
      </x:c>
      <x:c r="B53" s="63" t="str">
        <x:v>Bartolo</x:v>
      </x:c>
      <x:c r="C53" s="63" t="str"/>
      <x:c r="D53" s="63" t="str"/>
    </x:row>
    <x:row r="54">
      <x:c r="A54" s="72" t="n">
        <x:v>51</x:v>
      </x:c>
      <x:c r="B54" s="63" t="str">
        <x:v>Domenico</x:v>
      </x:c>
      <x:c r="C54" s="63" t="str"/>
      <x:c r="D54" s="63" t="str"/>
    </x:row>
    <x:row r="55">
      <x:c r="A55" s="72" t="n">
        <x:v>52</x:v>
      </x:c>
      <x:c r="B55" s="63" t="str">
        <x:v>Montanera Michele</x:v>
      </x:c>
      <x:c r="C55" s="63" t="str"/>
      <x:c r="D55" s="63" t="str"/>
    </x:row>
    <x:row r="56">
      <x:c r="A56" s="72" t="n">
        <x:v>53</x:v>
      </x:c>
      <x:c r="B56" s="63" t="str">
        <x:v>Gaita Rossano</x:v>
      </x:c>
      <x:c r="C56" s="63" t="str"/>
      <x:c r="D56" s="63" t="str"/>
    </x:row>
    <x:row r="57">
      <x:c r="A57" s="72" t="n">
        <x:v>54</x:v>
      </x:c>
      <x:c r="B57" s="63" t="str">
        <x:v>Giugliano Domenico</x:v>
      </x:c>
      <x:c r="C57" s="63" t="str"/>
      <x:c r="D57" s="63" t="str"/>
    </x:row>
    <x:row r="58">
      <x:c r="A58" s="72" t="n">
        <x:v>55</x:v>
      </x:c>
      <x:c r="B58" s="63" t="str">
        <x:v>Montanera Raffaele</x:v>
      </x:c>
      <x:c r="C58" s="63" t="str"/>
      <x:c r="D58" s="63" t="str"/>
    </x:row>
    <x:row r="59">
      <x:c r="A59" s="72" t="n">
        <x:v>56</x:v>
      </x:c>
      <x:c r="B59" s="63" t="str">
        <x:v>Oreste</x:v>
      </x:c>
      <x:c r="C59" s="63" t="str"/>
      <x:c r="D59" s="63" t="str"/>
    </x:row>
    <x:row r="60">
      <x:c r="A60" s="72" t="n">
        <x:v>57</x:v>
      </x:c>
      <x:c r="B60" s="63" t="str">
        <x:v>Sirico Crescenzo</x:v>
      </x:c>
      <x:c r="C60" s="63" t="str"/>
      <x:c r="D60" s="63" t="str"/>
    </x:row>
    <x:row r="61">
      <x:c r="A61" s="72" t="n">
        <x:v>58</x:v>
      </x:c>
      <x:c r="B61" s="63" t="str">
        <x:v>Mauro Salvatore</x:v>
      </x:c>
      <x:c r="C61" s="63" t="str"/>
      <x:c r="D61" s="63" t="str"/>
    </x:row>
    <x:row r="62">
      <x:c r="A62" s="72" t="n">
        <x:v>59</x:v>
      </x:c>
      <x:c r="B62" s="63" t="str">
        <x:v>Angiero Anna</x:v>
      </x:c>
      <x:c r="C62" s="63" t="str"/>
      <x:c r="D62" s="63" t="str"/>
    </x:row>
    <x:row r="63">
      <x:c r="A63" s="72" t="n">
        <x:v>60</x:v>
      </x:c>
      <x:c r="B63" s="63" t="str">
        <x:v>Di Grazia Salvatore</x:v>
      </x:c>
      <x:c r="C63" s="63" t="str"/>
      <x:c r="D63" s="63" t="str"/>
    </x:row>
    <x:row r="64">
      <x:c r="A64" s="72" t="n">
        <x:v>61</x:v>
      </x:c>
      <x:c r="B64" s="63" t="str">
        <x:v>Mauro Cantice</x:v>
      </x:c>
      <x:c r="C64" s="63" t="str"/>
      <x:c r="D64" s="63" t="str"/>
    </x:row>
    <x:row r="65">
      <x:c r="A65" s="72" t="n">
        <x:v>62</x:v>
      </x:c>
      <x:c r="B65" s="63" t="str">
        <x:v>Corbo Angelo</x:v>
      </x:c>
      <x:c r="C65" s="63" t="str"/>
      <x:c r="D65" s="63" t="str"/>
    </x:row>
    <x:row r="66">
      <x:c r="A66" s="72" t="n">
        <x:v>63</x:v>
      </x:c>
      <x:c r="B66" s="63" t="str">
        <x:v>Fuschillo Francesco</x:v>
      </x:c>
      <x:c r="C66" s="63" t="str"/>
      <x:c r="D66" s="63" t="str"/>
    </x:row>
    <x:row r="67">
      <x:c r="A67" s="72" t="n">
        <x:v>64</x:v>
      </x:c>
      <x:c r="B67" s="63" t="str">
        <x:v>Tufano Michele 2</x:v>
      </x:c>
      <x:c r="C67" s="63" t="str"/>
      <x:c r="D67" s="63" t="str"/>
    </x:row>
    <x:row r="68">
      <x:c r="A68" s="72" t="n">
        <x:v>65</x:v>
      </x:c>
      <x:c r="B68" s="63" t="str">
        <x:v>Tufano Michele 3</x:v>
      </x:c>
      <x:c r="C68" s="63" t="str"/>
      <x:c r="D68" s="63" t="str"/>
    </x:row>
    <x:row r="69">
      <x:c r="A69" s="72" t="n">
        <x:v>66</x:v>
      </x:c>
      <x:c r="B69" s="63"/>
      <x:c r="C69" s="63" t="str"/>
      <x:c r="D69" s="63" t="str"/>
    </x:row>
    <x:row r="70">
      <x:c r="A70" s="72" t="n">
        <x:v>67</x:v>
      </x:c>
      <x:c r="B70" s="63"/>
      <x:c r="C70" s="63" t="str"/>
      <x:c r="D70" s="63" t="str"/>
    </x:row>
    <x:row r="71">
      <x:c r="A71" s="72" t="n">
        <x:v>68</x:v>
      </x:c>
      <x:c r="B71" s="63"/>
      <x:c r="C71" s="63" t="str"/>
      <x:c r="D71" s="63" t="str"/>
    </x:row>
    <x:row r="72">
      <x:c r="A72" s="72" t="n">
        <x:v>69</x:v>
      </x:c>
      <x:c r="B72" s="63"/>
      <x:c r="C72" s="63" t="str"/>
      <x:c r="D72" s="63" t="str"/>
    </x:row>
    <x:row r="73">
      <x:c r="A73" s="72" t="n">
        <x:v>70</x:v>
      </x:c>
      <x:c r="B73" s="63"/>
      <x:c r="C73" s="63" t="str"/>
      <x:c r="D73" s="63" t="str"/>
    </x:row>
  </x:sheetData>
  <x:mergeCells>
    <x:mergeCell ref="A1:D1"/>
  </x:mergeCells>
  <x:pageMargins left="0.7" right="0.7" top="0.75" bottom="0.75" header="0.3" footer="0.3"/>
  <x:tableParts count="1">
    <x:tablePart xmlns:r="http://schemas.openxmlformats.org/officeDocument/2006/relationships" r:id="Raff70dcf3fc7458f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10" hidden="0" customWidth="1"/>
    <x:col min="3" max="3" width="9" hidden="0" customWidth="1"/>
    <x:col min="4" max="4" width="14" hidden="0" customWidth="1"/>
    <x:col min="5" max="5" width="28" hidden="0" customWidth="1"/>
    <x:col min="6" max="6" width="16" hidden="0" customWidth="1"/>
    <x:col min="7" max="7" width="13" hidden="0" customWidth="1"/>
    <x:col min="8" max="8" width="10" hidden="0" customWidth="1"/>
    <x:col min="9" max="9" width="17" hidden="0" customWidth="1"/>
    <x:col min="10" max="10" width="30" hidden="0" customWidth="1"/>
  </x:cols>
  <x:sheetData>
    <x:row r="1" ht="30" customHeight="1">
      <x:c r="A1" s="51" t="str">
        <x:v>RISULTATI - 50 GIOCATORI</x:v>
      </x:c>
      <x:c r="B1" s="51"/>
      <x:c r="C1" s="51"/>
      <x:c r="D1" s="51"/>
      <x:c r="E1" s="51"/>
      <x:c r="F1" s="51"/>
      <x:c r="G1" s="51"/>
      <x:c r="H1" s="51"/>
      <x:c r="I1" s="51"/>
      <x:c r="J1" s="51"/>
    </x:row>
    <x:row r="2">
      <x:c r="A2" s="74" t="str">
        <x:v>Compilare esclusivamente le celle gialle. Posizione: 1 = migliore al tavolo, 5 = peggiore.</x:v>
      </x:c>
      <x:c r="B2" s="74"/>
      <x:c r="C2" s="74"/>
      <x:c r="D2" s="74"/>
      <x:c r="E2" s="74"/>
      <x:c r="F2" s="74"/>
      <x:c r="G2" s="74"/>
      <x:c r="H2" s="74"/>
      <x:c r="I2" s="74"/>
      <x:c r="J2" s="74"/>
    </x:row>
    <x:row r="4">
      <x:c r="A4" s="62" t="str">
        <x:v>Turno</x:v>
      </x:c>
      <x:c r="B4" s="62" t="str">
        <x:v>Tavolo</x:v>
      </x:c>
      <x:c r="C4" s="62" t="str">
        <x:v>Sedia</x:v>
      </x:c>
      <x:c r="D4" s="62" t="str">
        <x:v>Giocatore ID</x:v>
      </x:c>
      <x:c r="E4" s="62" t="str">
        <x:v>Nome</x:v>
      </x:c>
      <x:c r="F4" s="62" t="str">
        <x:v>Punti partita</x:v>
      </x:c>
      <x:c r="G4" s="62" t="str">
        <x:v>Posizione</x:v>
      </x:c>
      <x:c r="H4" s="62" t="str">
        <x:v>Sóle</x:v>
      </x:c>
      <x:c r="I4" s="62" t="str">
        <x:v>Punti classifica</x:v>
      </x:c>
      <x:c r="J4" s="62" t="str">
        <x:v>Note</x:v>
      </x:c>
    </x:row>
    <x:row r="5">
      <x:c r="A5" s="72" t="n">
        <x:v>1</x:v>
      </x:c>
      <x:c r="B5" s="72" t="str">
        <x:v>A</x:v>
      </x:c>
      <x:c r="C5" s="72" t="n">
        <x:v>1</x:v>
      </x:c>
      <x:c r="D5" s="72" t="n">
        <x:v>1</x:v>
      </x:c>
      <x:c r="E5" s="72" t="str">
        <x:f>IFERROR(IF(VLOOKUP(D5,Giocatori!$A$4:$C$73,2,FALSE)&lt;&gt;"",VLOOKUP(D5,Giocatori!$A$4:$C$73,2,FALSE),"Giocatore "&amp;D5),"Giocatore "&amp;D5)</x:f>
        <x:v>Annunziata Michele</x:v>
      </x:c>
      <x:c r="F5" s="63" t="str"/>
      <x:c r="G5" s="63" t="str"/>
      <x:c r="H5" s="63" t="n">
        <x:v>0</x:v>
      </x:c>
      <x:c r="I5" s="72" t="str">
        <x:f>IF(OR(G5="",G5&lt;1,G5&gt;5),"",CHOOSE(G5,9,6,4,2,1)+2*IF(H5="",0,H5))</x:f>
      </x:c>
      <x:c r="J5" s="63" t="str"/>
    </x:row>
    <x:row r="6">
      <x:c r="A6" s="72" t="n">
        <x:v>1</x:v>
      </x:c>
      <x:c r="B6" s="72" t="str">
        <x:v>A</x:v>
      </x:c>
      <x:c r="C6" s="72" t="n">
        <x:v>2</x:v>
      </x:c>
      <x:c r="D6" s="72" t="n">
        <x:v>2</x:v>
      </x:c>
      <x:c r="E6" s="72" t="str">
        <x:f>IFERROR(IF(VLOOKUP(D6,Giocatori!$A$4:$C$73,2,FALSE)&lt;&gt;"",VLOOKUP(D6,Giocatori!$A$4:$C$73,2,FALSE),"Giocatore "&amp;D6),"Giocatore "&amp;D6)</x:f>
        <x:v>La Marca Carlo</x:v>
      </x:c>
      <x:c r="F6" s="63" t="str"/>
      <x:c r="G6" s="63" t="str"/>
      <x:c r="H6" s="63" t="n">
        <x:v>0</x:v>
      </x:c>
      <x:c r="I6" s="72" t="str">
        <x:f>IF(OR(G6="",G6&lt;1,G6&gt;5),"",CHOOSE(G6,9,6,4,2,1)+2*IF(H6="",0,H6))</x:f>
      </x:c>
      <x:c r="J6" s="63" t="str"/>
    </x:row>
    <x:row r="7">
      <x:c r="A7" s="72" t="n">
        <x:v>1</x:v>
      </x:c>
      <x:c r="B7" s="72" t="str">
        <x:v>A</x:v>
      </x:c>
      <x:c r="C7" s="72" t="n">
        <x:v>3</x:v>
      </x:c>
      <x:c r="D7" s="72" t="n">
        <x:v>3</x:v>
      </x:c>
      <x:c r="E7" s="72" t="str">
        <x:f>IFERROR(IF(VLOOKUP(D7,Giocatori!$A$4:$C$73,2,FALSE)&lt;&gt;"",VLOOKUP(D7,Giocatori!$A$4:$C$73,2,FALSE),"Giocatore "&amp;D7),"Giocatore "&amp;D7)</x:f>
        <x:v>Sommese Antonio</x:v>
      </x:c>
      <x:c r="F7" s="63" t="str"/>
      <x:c r="G7" s="63" t="str"/>
      <x:c r="H7" s="63" t="n">
        <x:v>0</x:v>
      </x:c>
      <x:c r="I7" s="72" t="str">
        <x:f>IF(OR(G7="",G7&lt;1,G7&gt;5),"",CHOOSE(G7,9,6,4,2,1)+2*IF(H7="",0,H7))</x:f>
      </x:c>
      <x:c r="J7" s="63" t="str"/>
    </x:row>
    <x:row r="8">
      <x:c r="A8" s="72" t="n">
        <x:v>1</x:v>
      </x:c>
      <x:c r="B8" s="72" t="str">
        <x:v>A</x:v>
      </x:c>
      <x:c r="C8" s="72" t="n">
        <x:v>4</x:v>
      </x:c>
      <x:c r="D8" s="72" t="n">
        <x:v>4</x:v>
      </x:c>
      <x:c r="E8" s="72" t="str">
        <x:f>IFERROR(IF(VLOOKUP(D8,Giocatori!$A$4:$C$73,2,FALSE)&lt;&gt;"",VLOOKUP(D8,Giocatori!$A$4:$C$73,2,FALSE),"Giocatore "&amp;D8),"Giocatore "&amp;D8)</x:f>
        <x:v>Annunziata Raffaele</x:v>
      </x:c>
      <x:c r="F8" s="63" t="str"/>
      <x:c r="G8" s="63" t="str"/>
      <x:c r="H8" s="63" t="n">
        <x:v>0</x:v>
      </x:c>
      <x:c r="I8" s="72" t="str">
        <x:f>IF(OR(G8="",G8&lt;1,G8&gt;5),"",CHOOSE(G8,9,6,4,2,1)+2*IF(H8="",0,H8))</x:f>
      </x:c>
      <x:c r="J8" s="63" t="str"/>
    </x:row>
    <x:row r="9">
      <x:c r="A9" s="72" t="n">
        <x:v>1</x:v>
      </x:c>
      <x:c r="B9" s="72" t="str">
        <x:v>A</x:v>
      </x:c>
      <x:c r="C9" s="72" t="n">
        <x:v>5</x:v>
      </x:c>
      <x:c r="D9" s="72" t="n">
        <x:v>5</x:v>
      </x:c>
      <x:c r="E9" s="72" t="str">
        <x:f>IFERROR(IF(VLOOKUP(D9,Giocatori!$A$4:$C$73,2,FALSE)&lt;&gt;"",VLOOKUP(D9,Giocatori!$A$4:$C$73,2,FALSE),"Giocatore "&amp;D9),"Giocatore "&amp;D9)</x:f>
        <x:v>La Marca Pasquale</x:v>
      </x:c>
      <x:c r="F9" s="63" t="str"/>
      <x:c r="G9" s="63" t="str"/>
      <x:c r="H9" s="63" t="n">
        <x:v>0</x:v>
      </x:c>
      <x:c r="I9" s="72" t="str">
        <x:f>IF(OR(G9="",G9&lt;1,G9&gt;5),"",CHOOSE(G9,9,6,4,2,1)+2*IF(H9="",0,H9))</x:f>
      </x:c>
      <x:c r="J9" s="63" t="str"/>
    </x:row>
    <x:row r="10">
      <x:c r="A10" s="72" t="n">
        <x:v>1</x:v>
      </x:c>
      <x:c r="B10" s="72" t="str">
        <x:v>B</x:v>
      </x:c>
      <x:c r="C10" s="72" t="n">
        <x:v>1</x:v>
      </x:c>
      <x:c r="D10" s="72" t="n">
        <x:v>6</x:v>
      </x:c>
      <x:c r="E10" s="72" t="str">
        <x:f>IFERROR(IF(VLOOKUP(D10,Giocatori!$A$4:$C$73,2,FALSE)&lt;&gt;"",VLOOKUP(D10,Giocatori!$A$4:$C$73,2,FALSE),"Giocatore "&amp;D10),"Giocatore "&amp;D10)</x:f>
        <x:v>Panico Pasquale</x:v>
      </x:c>
      <x:c r="F10" s="63" t="str"/>
      <x:c r="G10" s="63" t="str"/>
      <x:c r="H10" s="63" t="n">
        <x:v>0</x:v>
      </x:c>
      <x:c r="I10" s="72" t="str">
        <x:f>IF(OR(G10="",G10&lt;1,G10&gt;5),"",CHOOSE(G10,9,6,4,2,1)+2*IF(H10="",0,H10))</x:f>
      </x:c>
      <x:c r="J10" s="63" t="str"/>
    </x:row>
    <x:row r="11">
      <x:c r="A11" s="72" t="n">
        <x:v>1</x:v>
      </x:c>
      <x:c r="B11" s="72" t="str">
        <x:v>B</x:v>
      </x:c>
      <x:c r="C11" s="72" t="n">
        <x:v>2</x:v>
      </x:c>
      <x:c r="D11" s="72" t="n">
        <x:v>7</x:v>
      </x:c>
      <x:c r="E11" s="72" t="str">
        <x:f>IFERROR(IF(VLOOKUP(D11,Giocatori!$A$4:$C$73,2,FALSE)&lt;&gt;"",VLOOKUP(D11,Giocatori!$A$4:$C$73,2,FALSE),"Giocatore "&amp;D11),"Giocatore "&amp;D11)</x:f>
        <x:v>Ambrosino Michele</x:v>
      </x:c>
      <x:c r="F11" s="63" t="str"/>
      <x:c r="G11" s="63" t="str"/>
      <x:c r="H11" s="63" t="n">
        <x:v>0</x:v>
      </x:c>
      <x:c r="I11" s="72" t="str">
        <x:f>IF(OR(G11="",G11&lt;1,G11&gt;5),"",CHOOSE(G11,9,6,4,2,1)+2*IF(H11="",0,H11))</x:f>
      </x:c>
      <x:c r="J11" s="63" t="str"/>
    </x:row>
    <x:row r="12">
      <x:c r="A12" s="72" t="n">
        <x:v>1</x:v>
      </x:c>
      <x:c r="B12" s="72" t="str">
        <x:v>B</x:v>
      </x:c>
      <x:c r="C12" s="72" t="n">
        <x:v>3</x:v>
      </x:c>
      <x:c r="D12" s="72" t="n">
        <x:v>8</x:v>
      </x:c>
      <x:c r="E12" s="72" t="str">
        <x:f>IFERROR(IF(VLOOKUP(D12,Giocatori!$A$4:$C$73,2,FALSE)&lt;&gt;"",VLOOKUP(D12,Giocatori!$A$4:$C$73,2,FALSE),"Giocatore "&amp;D12),"Giocatore "&amp;D12)</x:f>
        <x:v>Ambrosino Raffaele</x:v>
      </x:c>
      <x:c r="F12" s="63" t="str"/>
      <x:c r="G12" s="63" t="str"/>
      <x:c r="H12" s="63" t="n">
        <x:v>0</x:v>
      </x:c>
      <x:c r="I12" s="72" t="str">
        <x:f>IF(OR(G12="",G12&lt;1,G12&gt;5),"",CHOOSE(G12,9,6,4,2,1)+2*IF(H12="",0,H12))</x:f>
      </x:c>
      <x:c r="J12" s="63" t="str"/>
    </x:row>
    <x:row r="13">
      <x:c r="A13" s="72" t="n">
        <x:v>1</x:v>
      </x:c>
      <x:c r="B13" s="72" t="str">
        <x:v>B</x:v>
      </x:c>
      <x:c r="C13" s="72" t="n">
        <x:v>4</x:v>
      </x:c>
      <x:c r="D13" s="72" t="n">
        <x:v>9</x:v>
      </x:c>
      <x:c r="E13" s="72" t="str">
        <x:f>IFERROR(IF(VLOOKUP(D13,Giocatori!$A$4:$C$73,2,FALSE)&lt;&gt;"",VLOOKUP(D13,Giocatori!$A$4:$C$73,2,FALSE),"Giocatore "&amp;D13),"Giocatore "&amp;D13)</x:f>
        <x:v>Nappo Angelo</x:v>
      </x:c>
      <x:c r="F13" s="63" t="str"/>
      <x:c r="G13" s="63" t="str"/>
      <x:c r="H13" s="63" t="n">
        <x:v>0</x:v>
      </x:c>
      <x:c r="I13" s="72" t="str">
        <x:f>IF(OR(G13="",G13&lt;1,G13&gt;5),"",CHOOSE(G13,9,6,4,2,1)+2*IF(H13="",0,H13))</x:f>
      </x:c>
      <x:c r="J13" s="63" t="str"/>
    </x:row>
    <x:row r="14">
      <x:c r="A14" s="72" t="n">
        <x:v>1</x:v>
      </x:c>
      <x:c r="B14" s="72" t="str">
        <x:v>B</x:v>
      </x:c>
      <x:c r="C14" s="72" t="n">
        <x:v>5</x:v>
      </x:c>
      <x:c r="D14" s="72" t="n">
        <x:v>10</x:v>
      </x:c>
      <x:c r="E14" s="72" t="str">
        <x:f>IFERROR(IF(VLOOKUP(D14,Giocatori!$A$4:$C$73,2,FALSE)&lt;&gt;"",VLOOKUP(D14,Giocatori!$A$4:$C$73,2,FALSE),"Giocatore "&amp;D14),"Giocatore "&amp;D14)</x:f>
        <x:v>Cavallaro Erasmo</x:v>
      </x:c>
      <x:c r="F14" s="63" t="str"/>
      <x:c r="G14" s="63" t="str"/>
      <x:c r="H14" s="63" t="n">
        <x:v>0</x:v>
      </x:c>
      <x:c r="I14" s="72" t="str">
        <x:f>IF(OR(G14="",G14&lt;1,G14&gt;5),"",CHOOSE(G14,9,6,4,2,1)+2*IF(H14="",0,H14))</x:f>
      </x:c>
      <x:c r="J14" s="63" t="str"/>
    </x:row>
    <x:row r="15">
      <x:c r="A15" s="72" t="n">
        <x:v>1</x:v>
      </x:c>
      <x:c r="B15" s="72" t="str">
        <x:v>C</x:v>
      </x:c>
      <x:c r="C15" s="72" t="n">
        <x:v>1</x:v>
      </x:c>
      <x:c r="D15" s="72" t="n">
        <x:v>11</x:v>
      </x:c>
      <x:c r="E15" s="72" t="str">
        <x:f>IFERROR(IF(VLOOKUP(D15,Giocatori!$A$4:$C$73,2,FALSE)&lt;&gt;"",VLOOKUP(D15,Giocatori!$A$4:$C$73,2,FALSE),"Giocatore "&amp;D15),"Giocatore "&amp;D15)</x:f>
        <x:v>Notaro Giacomo</x:v>
      </x:c>
      <x:c r="F15" s="63" t="str"/>
      <x:c r="G15" s="63" t="str"/>
      <x:c r="H15" s="63" t="n">
        <x:v>0</x:v>
      </x:c>
      <x:c r="I15" s="72" t="str">
        <x:f>IF(OR(G15="",G15&lt;1,G15&gt;5),"",CHOOSE(G15,9,6,4,2,1)+2*IF(H15="",0,H15))</x:f>
      </x:c>
      <x:c r="J15" s="63" t="str"/>
    </x:row>
    <x:row r="16">
      <x:c r="A16" s="72" t="n">
        <x:v>1</x:v>
      </x:c>
      <x:c r="B16" s="72" t="str">
        <x:v>C</x:v>
      </x:c>
      <x:c r="C16" s="72" t="n">
        <x:v>2</x:v>
      </x:c>
      <x:c r="D16" s="72" t="n">
        <x:v>12</x:v>
      </x:c>
      <x:c r="E16" s="72" t="str">
        <x:f>IFERROR(IF(VLOOKUP(D16,Giocatori!$A$4:$C$73,2,FALSE)&lt;&gt;"",VLOOKUP(D16,Giocatori!$A$4:$C$73,2,FALSE),"Giocatore "&amp;D16),"Giocatore "&amp;D16)</x:f>
        <x:v>Scognamiglio Alfredo</x:v>
      </x:c>
      <x:c r="F16" s="63" t="str"/>
      <x:c r="G16" s="63" t="str"/>
      <x:c r="H16" s="63" t="n">
        <x:v>0</x:v>
      </x:c>
      <x:c r="I16" s="72" t="str">
        <x:f>IF(OR(G16="",G16&lt;1,G16&gt;5),"",CHOOSE(G16,9,6,4,2,1)+2*IF(H16="",0,H16))</x:f>
      </x:c>
      <x:c r="J16" s="63" t="str"/>
    </x:row>
    <x:row r="17">
      <x:c r="A17" s="72" t="n">
        <x:v>1</x:v>
      </x:c>
      <x:c r="B17" s="72" t="str">
        <x:v>C</x:v>
      </x:c>
      <x:c r="C17" s="72" t="n">
        <x:v>3</x:v>
      </x:c>
      <x:c r="D17" s="72" t="n">
        <x:v>13</x:v>
      </x:c>
      <x:c r="E17" s="72" t="str">
        <x:f>IFERROR(IF(VLOOKUP(D17,Giocatori!$A$4:$C$73,2,FALSE)&lt;&gt;"",VLOOKUP(D17,Giocatori!$A$4:$C$73,2,FALSE),"Giocatore "&amp;D17),"Giocatore "&amp;D17)</x:f>
        <x:v>Del Vecchio Diego</x:v>
      </x:c>
      <x:c r="F17" s="63" t="str"/>
      <x:c r="G17" s="63" t="str"/>
      <x:c r="H17" s="63" t="n">
        <x:v>0</x:v>
      </x:c>
      <x:c r="I17" s="72" t="str">
        <x:f>IF(OR(G17="",G17&lt;1,G17&gt;5),"",CHOOSE(G17,9,6,4,2,1)+2*IF(H17="",0,H17))</x:f>
      </x:c>
      <x:c r="J17" s="63" t="str"/>
    </x:row>
    <x:row r="18">
      <x:c r="A18" s="72" t="n">
        <x:v>1</x:v>
      </x:c>
      <x:c r="B18" s="72" t="str">
        <x:v>C</x:v>
      </x:c>
      <x:c r="C18" s="72" t="n">
        <x:v>4</x:v>
      </x:c>
      <x:c r="D18" s="72" t="n">
        <x:v>14</x:v>
      </x:c>
      <x:c r="E18" s="72" t="str">
        <x:f>IFERROR(IF(VLOOKUP(D18,Giocatori!$A$4:$C$73,2,FALSE)&lt;&gt;"",VLOOKUP(D18,Giocatori!$A$4:$C$73,2,FALSE),"Giocatore "&amp;D18),"Giocatore "&amp;D18)</x:f>
        <x:v>Beracci Lucio</x:v>
      </x:c>
      <x:c r="F18" s="63" t="str"/>
      <x:c r="G18" s="63" t="str"/>
      <x:c r="H18" s="63" t="n">
        <x:v>0</x:v>
      </x:c>
      <x:c r="I18" s="72" t="str">
        <x:f>IF(OR(G18="",G18&lt;1,G18&gt;5),"",CHOOSE(G18,9,6,4,2,1)+2*IF(H18="",0,H18))</x:f>
      </x:c>
      <x:c r="J18" s="63" t="str"/>
    </x:row>
    <x:row r="19">
      <x:c r="A19" s="72" t="n">
        <x:v>1</x:v>
      </x:c>
      <x:c r="B19" s="72" t="str">
        <x:v>C</x:v>
      </x:c>
      <x:c r="C19" s="72" t="n">
        <x:v>5</x:v>
      </x:c>
      <x:c r="D19" s="72" t="n">
        <x:v>15</x:v>
      </x:c>
      <x:c r="E19" s="72" t="str">
        <x:f>IFERROR(IF(VLOOKUP(D19,Giocatori!$A$4:$C$73,2,FALSE)&lt;&gt;"",VLOOKUP(D19,Giocatori!$A$4:$C$73,2,FALSE),"Giocatore "&amp;D19),"Giocatore "&amp;D19)</x:f>
        <x:v>De Falco Andrea</x:v>
      </x:c>
      <x:c r="F19" s="63" t="str"/>
      <x:c r="G19" s="63" t="str"/>
      <x:c r="H19" s="63" t="n">
        <x:v>0</x:v>
      </x:c>
      <x:c r="I19" s="72" t="str">
        <x:f>IF(OR(G19="",G19&lt;1,G19&gt;5),"",CHOOSE(G19,9,6,4,2,1)+2*IF(H19="",0,H19))</x:f>
      </x:c>
      <x:c r="J19" s="63" t="str"/>
    </x:row>
    <x:row r="20">
      <x:c r="A20" s="72" t="n">
        <x:v>1</x:v>
      </x:c>
      <x:c r="B20" s="72" t="str">
        <x:v>D</x:v>
      </x:c>
      <x:c r="C20" s="72" t="n">
        <x:v>1</x:v>
      </x:c>
      <x:c r="D20" s="72" t="n">
        <x:v>16</x:v>
      </x:c>
      <x:c r="E20" s="72" t="str">
        <x:f>IFERROR(IF(VLOOKUP(D20,Giocatori!$A$4:$C$73,2,FALSE)&lt;&gt;"",VLOOKUP(D20,Giocatori!$A$4:$C$73,2,FALSE),"Giocatore "&amp;D20),"Giocatore "&amp;D20)</x:f>
        <x:v>Beracci Benedetto</x:v>
      </x:c>
      <x:c r="F20" s="63" t="str"/>
      <x:c r="G20" s="63" t="str"/>
      <x:c r="H20" s="63" t="n">
        <x:v>0</x:v>
      </x:c>
      <x:c r="I20" s="72" t="str">
        <x:f>IF(OR(G20="",G20&lt;1,G20&gt;5),"",CHOOSE(G20,9,6,4,2,1)+2*IF(H20="",0,H20))</x:f>
      </x:c>
      <x:c r="J20" s="63" t="str"/>
    </x:row>
    <x:row r="21">
      <x:c r="A21" s="72" t="n">
        <x:v>1</x:v>
      </x:c>
      <x:c r="B21" s="72" t="str">
        <x:v>D</x:v>
      </x:c>
      <x:c r="C21" s="72" t="n">
        <x:v>2</x:v>
      </x:c>
      <x:c r="D21" s="72" t="n">
        <x:v>17</x:v>
      </x:c>
      <x:c r="E21" s="72" t="str">
        <x:f>IFERROR(IF(VLOOKUP(D21,Giocatori!$A$4:$C$73,2,FALSE)&lt;&gt;"",VLOOKUP(D21,Giocatori!$A$4:$C$73,2,FALSE),"Giocatore "&amp;D21),"Giocatore "&amp;D21)</x:f>
        <x:v>Tufano Giovanni</x:v>
      </x:c>
      <x:c r="F21" s="63" t="str"/>
      <x:c r="G21" s="63" t="str"/>
      <x:c r="H21" s="63" t="n">
        <x:v>0</x:v>
      </x:c>
      <x:c r="I21" s="72" t="str">
        <x:f>IF(OR(G21="",G21&lt;1,G21&gt;5),"",CHOOSE(G21,9,6,4,2,1)+2*IF(H21="",0,H21))</x:f>
      </x:c>
      <x:c r="J21" s="63" t="str"/>
    </x:row>
    <x:row r="22">
      <x:c r="A22" s="72" t="n">
        <x:v>1</x:v>
      </x:c>
      <x:c r="B22" s="72" t="str">
        <x:v>D</x:v>
      </x:c>
      <x:c r="C22" s="72" t="n">
        <x:v>3</x:v>
      </x:c>
      <x:c r="D22" s="72" t="n">
        <x:v>18</x:v>
      </x:c>
      <x:c r="E22" s="72" t="str">
        <x:f>IFERROR(IF(VLOOKUP(D22,Giocatori!$A$4:$C$73,2,FALSE)&lt;&gt;"",VLOOKUP(D22,Giocatori!$A$4:$C$73,2,FALSE),"Giocatore "&amp;D22),"Giocatore "&amp;D22)</x:f>
        <x:v>Ambrosino Gabriele</x:v>
      </x:c>
      <x:c r="F22" s="63" t="str"/>
      <x:c r="G22" s="63" t="str"/>
      <x:c r="H22" s="63" t="n">
        <x:v>0</x:v>
      </x:c>
      <x:c r="I22" s="72" t="str">
        <x:f>IF(OR(G22="",G22&lt;1,G22&gt;5),"",CHOOSE(G22,9,6,4,2,1)+2*IF(H22="",0,H22))</x:f>
      </x:c>
      <x:c r="J22" s="63" t="str"/>
    </x:row>
    <x:row r="23">
      <x:c r="A23" s="72" t="n">
        <x:v>1</x:v>
      </x:c>
      <x:c r="B23" s="72" t="str">
        <x:v>D</x:v>
      </x:c>
      <x:c r="C23" s="72" t="n">
        <x:v>4</x:v>
      </x:c>
      <x:c r="D23" s="72" t="n">
        <x:v>19</x:v>
      </x:c>
      <x:c r="E23" s="72" t="str">
        <x:f>IFERROR(IF(VLOOKUP(D23,Giocatori!$A$4:$C$73,2,FALSE)&lt;&gt;"",VLOOKUP(D23,Giocatori!$A$4:$C$73,2,FALSE),"Giocatore "&amp;D23),"Giocatore "&amp;D23)</x:f>
        <x:v>Strocchia Franco</x:v>
      </x:c>
      <x:c r="F23" s="63" t="str"/>
      <x:c r="G23" s="63" t="str"/>
      <x:c r="H23" s="63" t="n">
        <x:v>0</x:v>
      </x:c>
      <x:c r="I23" s="72" t="str">
        <x:f>IF(OR(G23="",G23&lt;1,G23&gt;5),"",CHOOSE(G23,9,6,4,2,1)+2*IF(H23="",0,H23))</x:f>
      </x:c>
      <x:c r="J23" s="63" t="str"/>
    </x:row>
    <x:row r="24">
      <x:c r="A24" s="72" t="n">
        <x:v>1</x:v>
      </x:c>
      <x:c r="B24" s="72" t="str">
        <x:v>D</x:v>
      </x:c>
      <x:c r="C24" s="72" t="n">
        <x:v>5</x:v>
      </x:c>
      <x:c r="D24" s="72" t="n">
        <x:v>20</x:v>
      </x:c>
      <x:c r="E24" s="72" t="str">
        <x:f>IFERROR(IF(VLOOKUP(D24,Giocatori!$A$4:$C$73,2,FALSE)&lt;&gt;"",VLOOKUP(D24,Giocatori!$A$4:$C$73,2,FALSE),"Giocatore "&amp;D24),"Giocatore "&amp;D24)</x:f>
        <x:v>Morelli Carmine</x:v>
      </x:c>
      <x:c r="F24" s="63" t="str"/>
      <x:c r="G24" s="63" t="str"/>
      <x:c r="H24" s="63" t="n">
        <x:v>0</x:v>
      </x:c>
      <x:c r="I24" s="72" t="str">
        <x:f>IF(OR(G24="",G24&lt;1,G24&gt;5),"",CHOOSE(G24,9,6,4,2,1)+2*IF(H24="",0,H24))</x:f>
      </x:c>
      <x:c r="J24" s="63" t="str"/>
    </x:row>
    <x:row r="25">
      <x:c r="A25" s="72" t="n">
        <x:v>1</x:v>
      </x:c>
      <x:c r="B25" s="72" t="str">
        <x:v>E</x:v>
      </x:c>
      <x:c r="C25" s="72" t="n">
        <x:v>1</x:v>
      </x:c>
      <x:c r="D25" s="72" t="n">
        <x:v>21</x:v>
      </x:c>
      <x:c r="E25" s="72" t="str">
        <x:f>IFERROR(IF(VLOOKUP(D25,Giocatori!$A$4:$C$73,2,FALSE)&lt;&gt;"",VLOOKUP(D25,Giocatori!$A$4:$C$73,2,FALSE),"Giocatore "&amp;D25),"Giocatore "&amp;D25)</x:f>
        <x:v>Tufano Raffaele</x:v>
      </x:c>
      <x:c r="F25" s="63" t="str"/>
      <x:c r="G25" s="63" t="str"/>
      <x:c r="H25" s="63" t="n">
        <x:v>0</x:v>
      </x:c>
      <x:c r="I25" s="72" t="str">
        <x:f>IF(OR(G25="",G25&lt;1,G25&gt;5),"",CHOOSE(G25,9,6,4,2,1)+2*IF(H25="",0,H25))</x:f>
      </x:c>
      <x:c r="J25" s="63" t="str"/>
    </x:row>
    <x:row r="26">
      <x:c r="A26" s="72" t="n">
        <x:v>1</x:v>
      </x:c>
      <x:c r="B26" s="72" t="str">
        <x:v>E</x:v>
      </x:c>
      <x:c r="C26" s="72" t="n">
        <x:v>2</x:v>
      </x:c>
      <x:c r="D26" s="72" t="n">
        <x:v>22</x:v>
      </x:c>
      <x:c r="E26" s="72" t="str">
        <x:f>IFERROR(IF(VLOOKUP(D26,Giocatori!$A$4:$C$73,2,FALSE)&lt;&gt;"",VLOOKUP(D26,Giocatori!$A$4:$C$73,2,FALSE),"Giocatore "&amp;D26),"Giocatore "&amp;D26)</x:f>
        <x:v>Napolitano Antonio</x:v>
      </x:c>
      <x:c r="F26" s="63" t="str"/>
      <x:c r="G26" s="63" t="str"/>
      <x:c r="H26" s="63" t="n">
        <x:v>0</x:v>
      </x:c>
      <x:c r="I26" s="72" t="str">
        <x:f>IF(OR(G26="",G26&lt;1,G26&gt;5),"",CHOOSE(G26,9,6,4,2,1)+2*IF(H26="",0,H26))</x:f>
      </x:c>
      <x:c r="J26" s="63" t="str"/>
    </x:row>
    <x:row r="27">
      <x:c r="A27" s="72" t="n">
        <x:v>1</x:v>
      </x:c>
      <x:c r="B27" s="72" t="str">
        <x:v>E</x:v>
      </x:c>
      <x:c r="C27" s="72" t="n">
        <x:v>3</x:v>
      </x:c>
      <x:c r="D27" s="72" t="n">
        <x:v>23</x:v>
      </x:c>
      <x:c r="E27" s="72" t="str">
        <x:f>IFERROR(IF(VLOOKUP(D27,Giocatori!$A$4:$C$73,2,FALSE)&lt;&gt;"",VLOOKUP(D27,Giocatori!$A$4:$C$73,2,FALSE),"Giocatore "&amp;D27),"Giocatore "&amp;D27)</x:f>
        <x:v>Notaro Massimo</x:v>
      </x:c>
      <x:c r="F27" s="63" t="str"/>
      <x:c r="G27" s="63" t="str"/>
      <x:c r="H27" s="63" t="n">
        <x:v>0</x:v>
      </x:c>
      <x:c r="I27" s="72" t="str">
        <x:f>IF(OR(G27="",G27&lt;1,G27&gt;5),"",CHOOSE(G27,9,6,4,2,1)+2*IF(H27="",0,H27))</x:f>
      </x:c>
      <x:c r="J27" s="63" t="str"/>
    </x:row>
    <x:row r="28">
      <x:c r="A28" s="72" t="n">
        <x:v>1</x:v>
      </x:c>
      <x:c r="B28" s="72" t="str">
        <x:v>E</x:v>
      </x:c>
      <x:c r="C28" s="72" t="n">
        <x:v>4</x:v>
      </x:c>
      <x:c r="D28" s="72" t="n">
        <x:v>24</x:v>
      </x:c>
      <x:c r="E28" s="72" t="str">
        <x:f>IFERROR(IF(VLOOKUP(D28,Giocatori!$A$4:$C$73,2,FALSE)&lt;&gt;"",VLOOKUP(D28,Giocatori!$A$4:$C$73,2,FALSE),"Giocatore "&amp;D28),"Giocatore "&amp;D28)</x:f>
        <x:v>Pierro Giuseppe</x:v>
      </x:c>
      <x:c r="F28" s="63" t="str"/>
      <x:c r="G28" s="63" t="str"/>
      <x:c r="H28" s="63" t="n">
        <x:v>0</x:v>
      </x:c>
      <x:c r="I28" s="72" t="str">
        <x:f>IF(OR(G28="",G28&lt;1,G28&gt;5),"",CHOOSE(G28,9,6,4,2,1)+2*IF(H28="",0,H28))</x:f>
      </x:c>
      <x:c r="J28" s="63" t="str"/>
    </x:row>
    <x:row r="29">
      <x:c r="A29" s="72" t="n">
        <x:v>1</x:v>
      </x:c>
      <x:c r="B29" s="72" t="str">
        <x:v>E</x:v>
      </x:c>
      <x:c r="C29" s="72" t="n">
        <x:v>5</x:v>
      </x:c>
      <x:c r="D29" s="72" t="n">
        <x:v>25</x:v>
      </x:c>
      <x:c r="E29" s="72" t="str">
        <x:f>IFERROR(IF(VLOOKUP(D29,Giocatori!$A$4:$C$73,2,FALSE)&lt;&gt;"",VLOOKUP(D29,Giocatori!$A$4:$C$73,2,FALSE),"Giocatore "&amp;D29),"Giocatore "&amp;D29)</x:f>
        <x:v>Giugliano Francesco</x:v>
      </x:c>
      <x:c r="F29" s="63" t="str"/>
      <x:c r="G29" s="63" t="str"/>
      <x:c r="H29" s="63" t="n">
        <x:v>0</x:v>
      </x:c>
      <x:c r="I29" s="72" t="str">
        <x:f>IF(OR(G29="",G29&lt;1,G29&gt;5),"",CHOOSE(G29,9,6,4,2,1)+2*IF(H29="",0,H29))</x:f>
      </x:c>
      <x:c r="J29" s="63" t="str"/>
    </x:row>
    <x:row r="30">
      <x:c r="A30" s="72" t="n">
        <x:v>1</x:v>
      </x:c>
      <x:c r="B30" s="72" t="str">
        <x:v>F</x:v>
      </x:c>
      <x:c r="C30" s="72" t="n">
        <x:v>1</x:v>
      </x:c>
      <x:c r="D30" s="72" t="n">
        <x:v>26</x:v>
      </x:c>
      <x:c r="E30" s="72" t="str">
        <x:f>IFERROR(IF(VLOOKUP(D30,Giocatori!$A$4:$C$73,2,FALSE)&lt;&gt;"",VLOOKUP(D30,Giocatori!$A$4:$C$73,2,FALSE),"Giocatore "&amp;D30),"Giocatore "&amp;D30)</x:f>
        <x:v>Gesso Marco</x:v>
      </x:c>
      <x:c r="F30" s="63" t="str"/>
      <x:c r="G30" s="63" t="str"/>
      <x:c r="H30" s="63" t="n">
        <x:v>0</x:v>
      </x:c>
      <x:c r="I30" s="72" t="str">
        <x:f>IF(OR(G30="",G30&lt;1,G30&gt;5),"",CHOOSE(G30,9,6,4,2,1)+2*IF(H30="",0,H30))</x:f>
      </x:c>
      <x:c r="J30" s="63" t="str"/>
    </x:row>
    <x:row r="31">
      <x:c r="A31" s="72" t="n">
        <x:v>1</x:v>
      </x:c>
      <x:c r="B31" s="72" t="str">
        <x:v>F</x:v>
      </x:c>
      <x:c r="C31" s="72" t="n">
        <x:v>2</x:v>
      </x:c>
      <x:c r="D31" s="72" t="n">
        <x:v>27</x:v>
      </x:c>
      <x:c r="E31" s="72" t="str">
        <x:f>IFERROR(IF(VLOOKUP(D31,Giocatori!$A$4:$C$73,2,FALSE)&lt;&gt;"",VLOOKUP(D31,Giocatori!$A$4:$C$73,2,FALSE),"Giocatore "&amp;D31),"Giocatore "&amp;D31)</x:f>
        <x:v>Napolitano Angelo</x:v>
      </x:c>
      <x:c r="F31" s="63" t="str"/>
      <x:c r="G31" s="63" t="str"/>
      <x:c r="H31" s="63" t="n">
        <x:v>0</x:v>
      </x:c>
      <x:c r="I31" s="72" t="str">
        <x:f>IF(OR(G31="",G31&lt;1,G31&gt;5),"",CHOOSE(G31,9,6,4,2,1)+2*IF(H31="",0,H31))</x:f>
      </x:c>
      <x:c r="J31" s="63" t="str"/>
    </x:row>
    <x:row r="32">
      <x:c r="A32" s="72" t="n">
        <x:v>1</x:v>
      </x:c>
      <x:c r="B32" s="72" t="str">
        <x:v>F</x:v>
      </x:c>
      <x:c r="C32" s="72" t="n">
        <x:v>3</x:v>
      </x:c>
      <x:c r="D32" s="72" t="n">
        <x:v>28</x:v>
      </x:c>
      <x:c r="E32" s="72" t="str">
        <x:f>IFERROR(IF(VLOOKUP(D32,Giocatori!$A$4:$C$73,2,FALSE)&lt;&gt;"",VLOOKUP(D32,Giocatori!$A$4:$C$73,2,FALSE),"Giocatore "&amp;D32),"Giocatore "&amp;D32)</x:f>
        <x:v>Fontanella Carmine</x:v>
      </x:c>
      <x:c r="F32" s="63" t="str"/>
      <x:c r="G32" s="63" t="str"/>
      <x:c r="H32" s="63" t="n">
        <x:v>0</x:v>
      </x:c>
      <x:c r="I32" s="72" t="str">
        <x:f>IF(OR(G32="",G32&lt;1,G32&gt;5),"",CHOOSE(G32,9,6,4,2,1)+2*IF(H32="",0,H32))</x:f>
      </x:c>
      <x:c r="J32" s="63" t="str"/>
    </x:row>
    <x:row r="33">
      <x:c r="A33" s="72" t="n">
        <x:v>1</x:v>
      </x:c>
      <x:c r="B33" s="72" t="str">
        <x:v>F</x:v>
      </x:c>
      <x:c r="C33" s="72" t="n">
        <x:v>4</x:v>
      </x:c>
      <x:c r="D33" s="72" t="n">
        <x:v>29</x:v>
      </x:c>
      <x:c r="E33" s="72" t="str">
        <x:f>IFERROR(IF(VLOOKUP(D33,Giocatori!$A$4:$C$73,2,FALSE)&lt;&gt;"",VLOOKUP(D33,Giocatori!$A$4:$C$73,2,FALSE),"Giocatore "&amp;D33),"Giocatore "&amp;D33)</x:f>
        <x:v>Nappi Nestore</x:v>
      </x:c>
      <x:c r="F33" s="63" t="str"/>
      <x:c r="G33" s="63" t="str"/>
      <x:c r="H33" s="63" t="n">
        <x:v>0</x:v>
      </x:c>
      <x:c r="I33" s="72" t="str">
        <x:f>IF(OR(G33="",G33&lt;1,G33&gt;5),"",CHOOSE(G33,9,6,4,2,1)+2*IF(H33="",0,H33))</x:f>
      </x:c>
      <x:c r="J33" s="63" t="str"/>
    </x:row>
    <x:row r="34">
      <x:c r="A34" s="72" t="n">
        <x:v>1</x:v>
      </x:c>
      <x:c r="B34" s="72" t="str">
        <x:v>F</x:v>
      </x:c>
      <x:c r="C34" s="72" t="n">
        <x:v>5</x:v>
      </x:c>
      <x:c r="D34" s="72" t="n">
        <x:v>30</x:v>
      </x:c>
      <x:c r="E34" s="72" t="str">
        <x:f>IFERROR(IF(VLOOKUP(D34,Giocatori!$A$4:$C$73,2,FALSE)&lt;&gt;"",VLOOKUP(D34,Giocatori!$A$4:$C$73,2,FALSE),"Giocatore "&amp;D34),"Giocatore "&amp;D34)</x:f>
        <x:v>Tufano Giuseppe</x:v>
      </x:c>
      <x:c r="F34" s="63" t="str"/>
      <x:c r="G34" s="63" t="str"/>
      <x:c r="H34" s="63" t="n">
        <x:v>0</x:v>
      </x:c>
      <x:c r="I34" s="72" t="str">
        <x:f>IF(OR(G34="",G34&lt;1,G34&gt;5),"",CHOOSE(G34,9,6,4,2,1)+2*IF(H34="",0,H34))</x:f>
      </x:c>
      <x:c r="J34" s="63" t="str"/>
    </x:row>
    <x:row r="35">
      <x:c r="A35" s="72" t="n">
        <x:v>1</x:v>
      </x:c>
      <x:c r="B35" s="72" t="str">
        <x:v>G</x:v>
      </x:c>
      <x:c r="C35" s="72" t="n">
        <x:v>1</x:v>
      </x:c>
      <x:c r="D35" s="72" t="n">
        <x:v>31</x:v>
      </x:c>
      <x:c r="E35" s="72" t="str">
        <x:f>IFERROR(IF(VLOOKUP(D35,Giocatori!$A$4:$C$73,2,FALSE)&lt;&gt;"",VLOOKUP(D35,Giocatori!$A$4:$C$73,2,FALSE),"Giocatore "&amp;D35),"Giocatore "&amp;D35)</x:f>
        <x:v>Polacco Tommaso</x:v>
      </x:c>
      <x:c r="F35" s="63" t="str"/>
      <x:c r="G35" s="63" t="str"/>
      <x:c r="H35" s="63" t="n">
        <x:v>0</x:v>
      </x:c>
      <x:c r="I35" s="72" t="str">
        <x:f>IF(OR(G35="",G35&lt;1,G35&gt;5),"",CHOOSE(G35,9,6,4,2,1)+2*IF(H35="",0,H35))</x:f>
      </x:c>
      <x:c r="J35" s="63" t="str"/>
    </x:row>
    <x:row r="36">
      <x:c r="A36" s="72" t="n">
        <x:v>1</x:v>
      </x:c>
      <x:c r="B36" s="72" t="str">
        <x:v>G</x:v>
      </x:c>
      <x:c r="C36" s="72" t="n">
        <x:v>2</x:v>
      </x:c>
      <x:c r="D36" s="72" t="n">
        <x:v>32</x:v>
      </x:c>
      <x:c r="E36" s="72" t="str">
        <x:f>IFERROR(IF(VLOOKUP(D36,Giocatori!$A$4:$C$73,2,FALSE)&lt;&gt;"",VLOOKUP(D36,Giocatori!$A$4:$C$73,2,FALSE),"Giocatore "&amp;D36),"Giocatore "&amp;D36)</x:f>
        <x:v>Marotta Pasquale</x:v>
      </x:c>
      <x:c r="F36" s="63" t="str"/>
      <x:c r="G36" s="63" t="str"/>
      <x:c r="H36" s="63" t="n">
        <x:v>0</x:v>
      </x:c>
      <x:c r="I36" s="72" t="str">
        <x:f>IF(OR(G36="",G36&lt;1,G36&gt;5),"",CHOOSE(G36,9,6,4,2,1)+2*IF(H36="",0,H36))</x:f>
      </x:c>
      <x:c r="J36" s="63" t="str"/>
    </x:row>
    <x:row r="37">
      <x:c r="A37" s="72" t="n">
        <x:v>1</x:v>
      </x:c>
      <x:c r="B37" s="72" t="str">
        <x:v>G</x:v>
      </x:c>
      <x:c r="C37" s="72" t="n">
        <x:v>3</x:v>
      </x:c>
      <x:c r="D37" s="72" t="n">
        <x:v>33</x:v>
      </x:c>
      <x:c r="E37" s="72" t="str">
        <x:f>IFERROR(IF(VLOOKUP(D37,Giocatori!$A$4:$C$73,2,FALSE)&lt;&gt;"",VLOOKUP(D37,Giocatori!$A$4:$C$73,2,FALSE),"Giocatore "&amp;D37),"Giocatore "&amp;D37)</x:f>
        <x:v>Franzese Francesco</x:v>
      </x:c>
      <x:c r="F37" s="63" t="str"/>
      <x:c r="G37" s="63" t="str"/>
      <x:c r="H37" s="63" t="n">
        <x:v>0</x:v>
      </x:c>
      <x:c r="I37" s="72" t="str">
        <x:f>IF(OR(G37="",G37&lt;1,G37&gt;5),"",CHOOSE(G37,9,6,4,2,1)+2*IF(H37="",0,H37))</x:f>
      </x:c>
      <x:c r="J37" s="63" t="str"/>
    </x:row>
    <x:row r="38">
      <x:c r="A38" s="72" t="n">
        <x:v>1</x:v>
      </x:c>
      <x:c r="B38" s="72" t="str">
        <x:v>G</x:v>
      </x:c>
      <x:c r="C38" s="72" t="n">
        <x:v>4</x:v>
      </x:c>
      <x:c r="D38" s="72" t="n">
        <x:v>34</x:v>
      </x:c>
      <x:c r="E38" s="72" t="str">
        <x:f>IFERROR(IF(VLOOKUP(D38,Giocatori!$A$4:$C$73,2,FALSE)&lt;&gt;"",VLOOKUP(D38,Giocatori!$A$4:$C$73,2,FALSE),"Giocatore "&amp;D38),"Giocatore "&amp;D38)</x:f>
        <x:v>Fontanella Giuseppe</x:v>
      </x:c>
      <x:c r="F38" s="63" t="str"/>
      <x:c r="G38" s="63" t="str"/>
      <x:c r="H38" s="63" t="n">
        <x:v>0</x:v>
      </x:c>
      <x:c r="I38" s="72" t="str">
        <x:f>IF(OR(G38="",G38&lt;1,G38&gt;5),"",CHOOSE(G38,9,6,4,2,1)+2*IF(H38="",0,H38))</x:f>
      </x:c>
      <x:c r="J38" s="63" t="str"/>
    </x:row>
    <x:row r="39">
      <x:c r="A39" s="72" t="n">
        <x:v>1</x:v>
      </x:c>
      <x:c r="B39" s="72" t="str">
        <x:v>G</x:v>
      </x:c>
      <x:c r="C39" s="72" t="n">
        <x:v>5</x:v>
      </x:c>
      <x:c r="D39" s="72" t="n">
        <x:v>35</x:v>
      </x:c>
      <x:c r="E39" s="72" t="str">
        <x:f>IFERROR(IF(VLOOKUP(D39,Giocatori!$A$4:$C$73,2,FALSE)&lt;&gt;"",VLOOKUP(D39,Giocatori!$A$4:$C$73,2,FALSE),"Giocatore "&amp;D39),"Giocatore "&amp;D39)</x:f>
        <x:v>Panico Giuseppe</x:v>
      </x:c>
      <x:c r="F39" s="63" t="str"/>
      <x:c r="G39" s="63" t="str"/>
      <x:c r="H39" s="63" t="n">
        <x:v>0</x:v>
      </x:c>
      <x:c r="I39" s="72" t="str">
        <x:f>IF(OR(G39="",G39&lt;1,G39&gt;5),"",CHOOSE(G39,9,6,4,2,1)+2*IF(H39="",0,H39))</x:f>
      </x:c>
      <x:c r="J39" s="63" t="str"/>
    </x:row>
    <x:row r="40">
      <x:c r="A40" s="72" t="n">
        <x:v>1</x:v>
      </x:c>
      <x:c r="B40" s="72" t="str">
        <x:v>H</x:v>
      </x:c>
      <x:c r="C40" s="72" t="n">
        <x:v>1</x:v>
      </x:c>
      <x:c r="D40" s="72" t="n">
        <x:v>36</x:v>
      </x:c>
      <x:c r="E40" s="72" t="str">
        <x:f>IFERROR(IF(VLOOKUP(D40,Giocatori!$A$4:$C$73,2,FALSE)&lt;&gt;"",VLOOKUP(D40,Giocatori!$A$4:$C$73,2,FALSE),"Giocatore "&amp;D40),"Giocatore "&amp;D40)</x:f>
        <x:v>Moccia Biagio</x:v>
      </x:c>
      <x:c r="F40" s="63" t="str"/>
      <x:c r="G40" s="63" t="str"/>
      <x:c r="H40" s="63" t="n">
        <x:v>0</x:v>
      </x:c>
      <x:c r="I40" s="72" t="str">
        <x:f>IF(OR(G40="",G40&lt;1,G40&gt;5),"",CHOOSE(G40,9,6,4,2,1)+2*IF(H40="",0,H40))</x:f>
      </x:c>
      <x:c r="J40" s="63" t="str"/>
    </x:row>
    <x:row r="41">
      <x:c r="A41" s="72" t="n">
        <x:v>1</x:v>
      </x:c>
      <x:c r="B41" s="72" t="str">
        <x:v>H</x:v>
      </x:c>
      <x:c r="C41" s="72" t="n">
        <x:v>2</x:v>
      </x:c>
      <x:c r="D41" s="72" t="n">
        <x:v>37</x:v>
      </x:c>
      <x:c r="E41" s="72" t="str">
        <x:f>IFERROR(IF(VLOOKUP(D41,Giocatori!$A$4:$C$73,2,FALSE)&lt;&gt;"",VLOOKUP(D41,Giocatori!$A$4:$C$73,2,FALSE),"Giocatore "&amp;D41),"Giocatore "&amp;D41)</x:f>
        <x:v>Spallone Carmine</x:v>
      </x:c>
      <x:c r="F41" s="63" t="str"/>
      <x:c r="G41" s="63" t="str"/>
      <x:c r="H41" s="63" t="n">
        <x:v>0</x:v>
      </x:c>
      <x:c r="I41" s="72" t="str">
        <x:f>IF(OR(G41="",G41&lt;1,G41&gt;5),"",CHOOSE(G41,9,6,4,2,1)+2*IF(H41="",0,H41))</x:f>
      </x:c>
      <x:c r="J41" s="63" t="str"/>
    </x:row>
    <x:row r="42">
      <x:c r="A42" s="72" t="n">
        <x:v>1</x:v>
      </x:c>
      <x:c r="B42" s="72" t="str">
        <x:v>H</x:v>
      </x:c>
      <x:c r="C42" s="72" t="n">
        <x:v>3</x:v>
      </x:c>
      <x:c r="D42" s="72" t="n">
        <x:v>38</x:v>
      </x:c>
      <x:c r="E42" s="72" t="str">
        <x:f>IFERROR(IF(VLOOKUP(D42,Giocatori!$A$4:$C$73,2,FALSE)&lt;&gt;"",VLOOKUP(D42,Giocatori!$A$4:$C$73,2,FALSE),"Giocatore "&amp;D42),"Giocatore "&amp;D42)</x:f>
        <x:v>Mauro Nicola</x:v>
      </x:c>
      <x:c r="F42" s="63" t="str"/>
      <x:c r="G42" s="63" t="str"/>
      <x:c r="H42" s="63" t="n">
        <x:v>0</x:v>
      </x:c>
      <x:c r="I42" s="72" t="str">
        <x:f>IF(OR(G42="",G42&lt;1,G42&gt;5),"",CHOOSE(G42,9,6,4,2,1)+2*IF(H42="",0,H42))</x:f>
      </x:c>
      <x:c r="J42" s="63" t="str"/>
    </x:row>
    <x:row r="43">
      <x:c r="A43" s="72" t="n">
        <x:v>1</x:v>
      </x:c>
      <x:c r="B43" s="72" t="str">
        <x:v>H</x:v>
      </x:c>
      <x:c r="C43" s="72" t="n">
        <x:v>4</x:v>
      </x:c>
      <x:c r="D43" s="72" t="n">
        <x:v>39</x:v>
      </x:c>
      <x:c r="E43" s="72" t="str">
        <x:f>IFERROR(IF(VLOOKUP(D43,Giocatori!$A$4:$C$73,2,FALSE)&lt;&gt;"",VLOOKUP(D43,Giocatori!$A$4:$C$73,2,FALSE),"Giocatore "&amp;D43),"Giocatore "&amp;D43)</x:f>
        <x:v>Ambrosino Lello</x:v>
      </x:c>
      <x:c r="F43" s="63" t="str"/>
      <x:c r="G43" s="63" t="str"/>
      <x:c r="H43" s="63" t="n">
        <x:v>0</x:v>
      </x:c>
      <x:c r="I43" s="72" t="str">
        <x:f>IF(OR(G43="",G43&lt;1,G43&gt;5),"",CHOOSE(G43,9,6,4,2,1)+2*IF(H43="",0,H43))</x:f>
      </x:c>
      <x:c r="J43" s="63" t="str"/>
    </x:row>
    <x:row r="44">
      <x:c r="A44" s="72" t="n">
        <x:v>1</x:v>
      </x:c>
      <x:c r="B44" s="72" t="str">
        <x:v>H</x:v>
      </x:c>
      <x:c r="C44" s="72" t="n">
        <x:v>5</x:v>
      </x:c>
      <x:c r="D44" s="72" t="n">
        <x:v>40</x:v>
      </x:c>
      <x:c r="E44" s="72" t="str">
        <x:f>IFERROR(IF(VLOOKUP(D44,Giocatori!$A$4:$C$73,2,FALSE)&lt;&gt;"",VLOOKUP(D44,Giocatori!$A$4:$C$73,2,FALSE),"Giocatore "&amp;D44),"Giocatore "&amp;D44)</x:f>
        <x:v>Carbone Felice</x:v>
      </x:c>
      <x:c r="F44" s="63" t="str"/>
      <x:c r="G44" s="63" t="str"/>
      <x:c r="H44" s="63" t="n">
        <x:v>0</x:v>
      </x:c>
      <x:c r="I44" s="72" t="str">
        <x:f>IF(OR(G44="",G44&lt;1,G44&gt;5),"",CHOOSE(G44,9,6,4,2,1)+2*IF(H44="",0,H44))</x:f>
      </x:c>
      <x:c r="J44" s="63" t="str"/>
    </x:row>
    <x:row r="45">
      <x:c r="A45" s="72" t="n">
        <x:v>1</x:v>
      </x:c>
      <x:c r="B45" s="72" t="str">
        <x:v>I</x:v>
      </x:c>
      <x:c r="C45" s="72" t="n">
        <x:v>1</x:v>
      </x:c>
      <x:c r="D45" s="72" t="n">
        <x:v>41</x:v>
      </x:c>
      <x:c r="E45" s="72" t="str">
        <x:f>IFERROR(IF(VLOOKUP(D45,Giocatori!$A$4:$C$73,2,FALSE)&lt;&gt;"",VLOOKUP(D45,Giocatori!$A$4:$C$73,2,FALSE),"Giocatore "&amp;D45),"Giocatore "&amp;D45)</x:f>
        <x:v>Nocerino Nunzio</x:v>
      </x:c>
      <x:c r="F45" s="63" t="str"/>
      <x:c r="G45" s="63" t="str"/>
      <x:c r="H45" s="63" t="n">
        <x:v>0</x:v>
      </x:c>
      <x:c r="I45" s="72" t="str">
        <x:f>IF(OR(G45="",G45&lt;1,G45&gt;5),"",CHOOSE(G45,9,6,4,2,1)+2*IF(H45="",0,H45))</x:f>
      </x:c>
      <x:c r="J45" s="63" t="str"/>
    </x:row>
    <x:row r="46">
      <x:c r="A46" s="72" t="n">
        <x:v>1</x:v>
      </x:c>
      <x:c r="B46" s="72" t="str">
        <x:v>I</x:v>
      </x:c>
      <x:c r="C46" s="72" t="n">
        <x:v>2</x:v>
      </x:c>
      <x:c r="D46" s="72" t="n">
        <x:v>42</x:v>
      </x:c>
      <x:c r="E46" s="72" t="str">
        <x:f>IFERROR(IF(VLOOKUP(D46,Giocatori!$A$4:$C$73,2,FALSE)&lt;&gt;"",VLOOKUP(D46,Giocatori!$A$4:$C$73,2,FALSE),"Giocatore "&amp;D46),"Giocatore "&amp;D46)</x:f>
        <x:v>Guerriero Giuseppe</x:v>
      </x:c>
      <x:c r="F46" s="63" t="str"/>
      <x:c r="G46" s="63" t="str"/>
      <x:c r="H46" s="63" t="n">
        <x:v>0</x:v>
      </x:c>
      <x:c r="I46" s="72" t="str">
        <x:f>IF(OR(G46="",G46&lt;1,G46&gt;5),"",CHOOSE(G46,9,6,4,2,1)+2*IF(H46="",0,H46))</x:f>
      </x:c>
      <x:c r="J46" s="63" t="str"/>
    </x:row>
    <x:row r="47">
      <x:c r="A47" s="72" t="n">
        <x:v>1</x:v>
      </x:c>
      <x:c r="B47" s="72" t="str">
        <x:v>I</x:v>
      </x:c>
      <x:c r="C47" s="72" t="n">
        <x:v>3</x:v>
      </x:c>
      <x:c r="D47" s="72" t="n">
        <x:v>43</x:v>
      </x:c>
      <x:c r="E47" s="72" t="str">
        <x:f>IFERROR(IF(VLOOKUP(D47,Giocatori!$A$4:$C$73,2,FALSE)&lt;&gt;"",VLOOKUP(D47,Giocatori!$A$4:$C$73,2,FALSE),"Giocatore "&amp;D47),"Giocatore "&amp;D47)</x:f>
        <x:v>Ruotolo Sabatino</x:v>
      </x:c>
      <x:c r="F47" s="63" t="str"/>
      <x:c r="G47" s="63" t="str"/>
      <x:c r="H47" s="63" t="n">
        <x:v>0</x:v>
      </x:c>
      <x:c r="I47" s="72" t="str">
        <x:f>IF(OR(G47="",G47&lt;1,G47&gt;5),"",CHOOSE(G47,9,6,4,2,1)+2*IF(H47="",0,H47))</x:f>
      </x:c>
      <x:c r="J47" s="63" t="str"/>
    </x:row>
    <x:row r="48">
      <x:c r="A48" s="72" t="n">
        <x:v>1</x:v>
      </x:c>
      <x:c r="B48" s="72" t="str">
        <x:v>I</x:v>
      </x:c>
      <x:c r="C48" s="72" t="n">
        <x:v>4</x:v>
      </x:c>
      <x:c r="D48" s="72" t="n">
        <x:v>44</x:v>
      </x:c>
      <x:c r="E48" s="72" t="str">
        <x:f>IFERROR(IF(VLOOKUP(D48,Giocatori!$A$4:$C$73,2,FALSE)&lt;&gt;"",VLOOKUP(D48,Giocatori!$A$4:$C$73,2,FALSE),"Giocatore "&amp;D48),"Giocatore "&amp;D48)</x:f>
        <x:v>Abbate Michele</x:v>
      </x:c>
      <x:c r="F48" s="63" t="str"/>
      <x:c r="G48" s="63" t="str"/>
      <x:c r="H48" s="63" t="n">
        <x:v>0</x:v>
      </x:c>
      <x:c r="I48" s="72" t="str">
        <x:f>IF(OR(G48="",G48&lt;1,G48&gt;5),"",CHOOSE(G48,9,6,4,2,1)+2*IF(H48="",0,H48))</x:f>
      </x:c>
      <x:c r="J48" s="63" t="str"/>
    </x:row>
    <x:row r="49">
      <x:c r="A49" s="72" t="n">
        <x:v>1</x:v>
      </x:c>
      <x:c r="B49" s="72" t="str">
        <x:v>I</x:v>
      </x:c>
      <x:c r="C49" s="72" t="n">
        <x:v>5</x:v>
      </x:c>
      <x:c r="D49" s="72" t="n">
        <x:v>45</x:v>
      </x:c>
      <x:c r="E49" s="72" t="str">
        <x:f>IFERROR(IF(VLOOKUP(D49,Giocatori!$A$4:$C$73,2,FALSE)&lt;&gt;"",VLOOKUP(D49,Giocatori!$A$4:$C$73,2,FALSE),"Giocatore "&amp;D49),"Giocatore "&amp;D49)</x:f>
        <x:v>Isernia Antonio</x:v>
      </x:c>
      <x:c r="F49" s="63" t="str"/>
      <x:c r="G49" s="63" t="str"/>
      <x:c r="H49" s="63" t="n">
        <x:v>0</x:v>
      </x:c>
      <x:c r="I49" s="72" t="str">
        <x:f>IF(OR(G49="",G49&lt;1,G49&gt;5),"",CHOOSE(G49,9,6,4,2,1)+2*IF(H49="",0,H49))</x:f>
      </x:c>
      <x:c r="J49" s="63" t="str"/>
    </x:row>
    <x:row r="50">
      <x:c r="A50" s="72" t="n">
        <x:v>1</x:v>
      </x:c>
      <x:c r="B50" s="72" t="str">
        <x:v>J</x:v>
      </x:c>
      <x:c r="C50" s="72" t="n">
        <x:v>1</x:v>
      </x:c>
      <x:c r="D50" s="72" t="n">
        <x:v>46</x:v>
      </x:c>
      <x:c r="E50" s="72" t="str">
        <x:f>IFERROR(IF(VLOOKUP(D50,Giocatori!$A$4:$C$73,2,FALSE)&lt;&gt;"",VLOOKUP(D50,Giocatori!$A$4:$C$73,2,FALSE),"Giocatore "&amp;D50),"Giocatore "&amp;D50)</x:f>
        <x:v>Cafarelli Manolo</x:v>
      </x:c>
      <x:c r="F50" s="63" t="str"/>
      <x:c r="G50" s="63" t="str"/>
      <x:c r="H50" s="63" t="n">
        <x:v>0</x:v>
      </x:c>
      <x:c r="I50" s="72" t="str">
        <x:f>IF(OR(G50="",G50&lt;1,G50&gt;5),"",CHOOSE(G50,9,6,4,2,1)+2*IF(H50="",0,H50))</x:f>
      </x:c>
      <x:c r="J50" s="63" t="str"/>
    </x:row>
    <x:row r="51">
      <x:c r="A51" s="72" t="n">
        <x:v>1</x:v>
      </x:c>
      <x:c r="B51" s="72" t="str">
        <x:v>J</x:v>
      </x:c>
      <x:c r="C51" s="72" t="n">
        <x:v>2</x:v>
      </x:c>
      <x:c r="D51" s="72" t="n">
        <x:v>47</x:v>
      </x:c>
      <x:c r="E51" s="72" t="str">
        <x:f>IFERROR(IF(VLOOKUP(D51,Giocatori!$A$4:$C$73,2,FALSE)&lt;&gt;"",VLOOKUP(D51,Giocatori!$A$4:$C$73,2,FALSE),"Giocatore "&amp;D51),"Giocatore "&amp;D51)</x:f>
        <x:v>Casoria Felice</x:v>
      </x:c>
      <x:c r="F51" s="63" t="str"/>
      <x:c r="G51" s="63" t="str"/>
      <x:c r="H51" s="63" t="n">
        <x:v>0</x:v>
      </x:c>
      <x:c r="I51" s="72" t="str">
        <x:f>IF(OR(G51="",G51&lt;1,G51&gt;5),"",CHOOSE(G51,9,6,4,2,1)+2*IF(H51="",0,H51))</x:f>
      </x:c>
      <x:c r="J51" s="63" t="str"/>
    </x:row>
    <x:row r="52">
      <x:c r="A52" s="72" t="n">
        <x:v>1</x:v>
      </x:c>
      <x:c r="B52" s="72" t="str">
        <x:v>J</x:v>
      </x:c>
      <x:c r="C52" s="72" t="n">
        <x:v>3</x:v>
      </x:c>
      <x:c r="D52" s="72" t="n">
        <x:v>48</x:v>
      </x:c>
      <x:c r="E52" s="72" t="str">
        <x:f>IFERROR(IF(VLOOKUP(D52,Giocatori!$A$4:$C$73,2,FALSE)&lt;&gt;"",VLOOKUP(D52,Giocatori!$A$4:$C$73,2,FALSE),"Giocatore "&amp;D52),"Giocatore "&amp;D52)</x:f>
        <x:v>Nspolitano Carlo</x:v>
      </x:c>
      <x:c r="F52" s="63" t="str"/>
      <x:c r="G52" s="63" t="str"/>
      <x:c r="H52" s="63" t="n">
        <x:v>0</x:v>
      </x:c>
      <x:c r="I52" s="72" t="str">
        <x:f>IF(OR(G52="",G52&lt;1,G52&gt;5),"",CHOOSE(G52,9,6,4,2,1)+2*IF(H52="",0,H52))</x:f>
      </x:c>
      <x:c r="J52" s="63" t="str"/>
    </x:row>
    <x:row r="53">
      <x:c r="A53" s="72" t="n">
        <x:v>1</x:v>
      </x:c>
      <x:c r="B53" s="72" t="str">
        <x:v>J</x:v>
      </x:c>
      <x:c r="C53" s="72" t="n">
        <x:v>4</x:v>
      </x:c>
      <x:c r="D53" s="72" t="n">
        <x:v>49</x:v>
      </x:c>
      <x:c r="E53" s="72" t="str">
        <x:f>IFERROR(IF(VLOOKUP(D53,Giocatori!$A$4:$C$73,2,FALSE)&lt;&gt;"",VLOOKUP(D53,Giocatori!$A$4:$C$73,2,FALSE),"Giocatore "&amp;D53),"Giocatore "&amp;D53)</x:f>
        <x:v>Tufano Michele</x:v>
      </x:c>
      <x:c r="F53" s="63" t="str"/>
      <x:c r="G53" s="63" t="str"/>
      <x:c r="H53" s="63" t="n">
        <x:v>0</x:v>
      </x:c>
      <x:c r="I53" s="72" t="str">
        <x:f>IF(OR(G53="",G53&lt;1,G53&gt;5),"",CHOOSE(G53,9,6,4,2,1)+2*IF(H53="",0,H53))</x:f>
      </x:c>
      <x:c r="J53" s="63" t="str"/>
    </x:row>
    <x:row r="54">
      <x:c r="A54" s="72" t="n">
        <x:v>1</x:v>
      </x:c>
      <x:c r="B54" s="72" t="str">
        <x:v>J</x:v>
      </x:c>
      <x:c r="C54" s="72" t="n">
        <x:v>5</x:v>
      </x:c>
      <x:c r="D54" s="72" t="n">
        <x:v>50</x:v>
      </x:c>
      <x:c r="E54" s="72" t="str">
        <x:f>IFERROR(IF(VLOOKUP(D54,Giocatori!$A$4:$C$73,2,FALSE)&lt;&gt;"",VLOOKUP(D54,Giocatori!$A$4:$C$73,2,FALSE),"Giocatore "&amp;D54),"Giocatore "&amp;D54)</x:f>
        <x:v>Bartolo</x:v>
      </x:c>
      <x:c r="F54" s="63" t="str"/>
      <x:c r="G54" s="63" t="str"/>
      <x:c r="H54" s="63" t="n">
        <x:v>0</x:v>
      </x:c>
      <x:c r="I54" s="72" t="str">
        <x:f>IF(OR(G54="",G54&lt;1,G54&gt;5),"",CHOOSE(G54,9,6,4,2,1)+2*IF(H54="",0,H54))</x:f>
      </x:c>
      <x:c r="J54" s="63" t="str"/>
    </x:row>
    <x:row r="55">
      <x:c r="A55" s="76" t="n">
        <x:v>2</x:v>
      </x:c>
      <x:c r="B55" s="76" t="str">
        <x:v>A</x:v>
      </x:c>
      <x:c r="C55" s="76" t="n">
        <x:v>1</x:v>
      </x:c>
      <x:c r="D55" s="76" t="n">
        <x:v>1</x:v>
      </x:c>
      <x:c r="E55" s="76" t="str">
        <x:f>IFERROR(IF(VLOOKUP(D55,Giocatori!$A$4:$C$73,2,FALSE)&lt;&gt;"",VLOOKUP(D55,Giocatori!$A$4:$C$73,2,FALSE),"Giocatore "&amp;D55),"Giocatore "&amp;D55)</x:f>
        <x:v>Annunziata Michele</x:v>
      </x:c>
      <x:c r="F55" s="77" t="str"/>
      <x:c r="G55" s="77" t="str"/>
      <x:c r="H55" s="77" t="n">
        <x:v>0</x:v>
      </x:c>
      <x:c r="I55" s="76" t="str">
        <x:f>IF(OR(G55="",G55&lt;1,G55&gt;5),"",CHOOSE(G55,9,6,4,2,1)+2*IF(H55="",0,H55))</x:f>
      </x:c>
      <x:c r="J55" s="77" t="str"/>
    </x:row>
    <x:row r="56">
      <x:c r="A56" s="72" t="n">
        <x:v>2</x:v>
      </x:c>
      <x:c r="B56" s="72" t="str">
        <x:v>A</x:v>
      </x:c>
      <x:c r="C56" s="72" t="n">
        <x:v>2</x:v>
      </x:c>
      <x:c r="D56" s="72" t="n">
        <x:v>47</x:v>
      </x:c>
      <x:c r="E56" s="72" t="str">
        <x:f>IFERROR(IF(VLOOKUP(D56,Giocatori!$A$4:$C$73,2,FALSE)&lt;&gt;"",VLOOKUP(D56,Giocatori!$A$4:$C$73,2,FALSE),"Giocatore "&amp;D56),"Giocatore "&amp;D56)</x:f>
        <x:v>Casoria Felice</x:v>
      </x:c>
      <x:c r="F56" s="63" t="str"/>
      <x:c r="G56" s="63" t="str"/>
      <x:c r="H56" s="63" t="n">
        <x:v>0</x:v>
      </x:c>
      <x:c r="I56" s="72" t="str">
        <x:f>IF(OR(G56="",G56&lt;1,G56&gt;5),"",CHOOSE(G56,9,6,4,2,1)+2*IF(H56="",0,H56))</x:f>
      </x:c>
      <x:c r="J56" s="63" t="str"/>
    </x:row>
    <x:row r="57">
      <x:c r="A57" s="72" t="n">
        <x:v>2</x:v>
      </x:c>
      <x:c r="B57" s="72" t="str">
        <x:v>A</x:v>
      </x:c>
      <x:c r="C57" s="72" t="n">
        <x:v>3</x:v>
      </x:c>
      <x:c r="D57" s="72" t="n">
        <x:v>43</x:v>
      </x:c>
      <x:c r="E57" s="72" t="str">
        <x:f>IFERROR(IF(VLOOKUP(D57,Giocatori!$A$4:$C$73,2,FALSE)&lt;&gt;"",VLOOKUP(D57,Giocatori!$A$4:$C$73,2,FALSE),"Giocatore "&amp;D57),"Giocatore "&amp;D57)</x:f>
        <x:v>Ruotolo Sabatino</x:v>
      </x:c>
      <x:c r="F57" s="63" t="str"/>
      <x:c r="G57" s="63" t="str"/>
      <x:c r="H57" s="63" t="n">
        <x:v>0</x:v>
      </x:c>
      <x:c r="I57" s="72" t="str">
        <x:f>IF(OR(G57="",G57&lt;1,G57&gt;5),"",CHOOSE(G57,9,6,4,2,1)+2*IF(H57="",0,H57))</x:f>
      </x:c>
      <x:c r="J57" s="63" t="str"/>
    </x:row>
    <x:row r="58">
      <x:c r="A58" s="72" t="n">
        <x:v>2</x:v>
      </x:c>
      <x:c r="B58" s="72" t="str">
        <x:v>A</x:v>
      </x:c>
      <x:c r="C58" s="72" t="n">
        <x:v>4</x:v>
      </x:c>
      <x:c r="D58" s="72" t="n">
        <x:v>39</x:v>
      </x:c>
      <x:c r="E58" s="72" t="str">
        <x:f>IFERROR(IF(VLOOKUP(D58,Giocatori!$A$4:$C$73,2,FALSE)&lt;&gt;"",VLOOKUP(D58,Giocatori!$A$4:$C$73,2,FALSE),"Giocatore "&amp;D58),"Giocatore "&amp;D58)</x:f>
        <x:v>Ambrosino Lello</x:v>
      </x:c>
      <x:c r="F58" s="63" t="str"/>
      <x:c r="G58" s="63" t="str"/>
      <x:c r="H58" s="63" t="n">
        <x:v>0</x:v>
      </x:c>
      <x:c r="I58" s="72" t="str">
        <x:f>IF(OR(G58="",G58&lt;1,G58&gt;5),"",CHOOSE(G58,9,6,4,2,1)+2*IF(H58="",0,H58))</x:f>
      </x:c>
      <x:c r="J58" s="63" t="str"/>
    </x:row>
    <x:row r="59">
      <x:c r="A59" s="72" t="n">
        <x:v>2</x:v>
      </x:c>
      <x:c r="B59" s="72" t="str">
        <x:v>A</x:v>
      </x:c>
      <x:c r="C59" s="72" t="n">
        <x:v>5</x:v>
      </x:c>
      <x:c r="D59" s="72" t="n">
        <x:v>35</x:v>
      </x:c>
      <x:c r="E59" s="72" t="str">
        <x:f>IFERROR(IF(VLOOKUP(D59,Giocatori!$A$4:$C$73,2,FALSE)&lt;&gt;"",VLOOKUP(D59,Giocatori!$A$4:$C$73,2,FALSE),"Giocatore "&amp;D59),"Giocatore "&amp;D59)</x:f>
        <x:v>Panico Giuseppe</x:v>
      </x:c>
      <x:c r="F59" s="63" t="str"/>
      <x:c r="G59" s="63" t="str"/>
      <x:c r="H59" s="63" t="n">
        <x:v>0</x:v>
      </x:c>
      <x:c r="I59" s="72" t="str">
        <x:f>IF(OR(G59="",G59&lt;1,G59&gt;5),"",CHOOSE(G59,9,6,4,2,1)+2*IF(H59="",0,H59))</x:f>
      </x:c>
      <x:c r="J59" s="63" t="str"/>
    </x:row>
    <x:row r="60">
      <x:c r="A60" s="72" t="n">
        <x:v>2</x:v>
      </x:c>
      <x:c r="B60" s="72" t="str">
        <x:v>B</x:v>
      </x:c>
      <x:c r="C60" s="72" t="n">
        <x:v>1</x:v>
      </x:c>
      <x:c r="D60" s="72" t="n">
        <x:v>6</x:v>
      </x:c>
      <x:c r="E60" s="72" t="str">
        <x:f>IFERROR(IF(VLOOKUP(D60,Giocatori!$A$4:$C$73,2,FALSE)&lt;&gt;"",VLOOKUP(D60,Giocatori!$A$4:$C$73,2,FALSE),"Giocatore "&amp;D60),"Giocatore "&amp;D60)</x:f>
        <x:v>Panico Pasquale</x:v>
      </x:c>
      <x:c r="F60" s="63" t="str"/>
      <x:c r="G60" s="63" t="str"/>
      <x:c r="H60" s="63" t="n">
        <x:v>0</x:v>
      </x:c>
      <x:c r="I60" s="72" t="str">
        <x:f>IF(OR(G60="",G60&lt;1,G60&gt;5),"",CHOOSE(G60,9,6,4,2,1)+2*IF(H60="",0,H60))</x:f>
      </x:c>
      <x:c r="J60" s="63" t="str"/>
    </x:row>
    <x:row r="61">
      <x:c r="A61" s="72" t="n">
        <x:v>2</x:v>
      </x:c>
      <x:c r="B61" s="72" t="str">
        <x:v>B</x:v>
      </x:c>
      <x:c r="C61" s="72" t="n">
        <x:v>2</x:v>
      </x:c>
      <x:c r="D61" s="72" t="n">
        <x:v>2</x:v>
      </x:c>
      <x:c r="E61" s="72" t="str">
        <x:f>IFERROR(IF(VLOOKUP(D61,Giocatori!$A$4:$C$73,2,FALSE)&lt;&gt;"",VLOOKUP(D61,Giocatori!$A$4:$C$73,2,FALSE),"Giocatore "&amp;D61),"Giocatore "&amp;D61)</x:f>
        <x:v>La Marca Carlo</x:v>
      </x:c>
      <x:c r="F61" s="63" t="str"/>
      <x:c r="G61" s="63" t="str"/>
      <x:c r="H61" s="63" t="n">
        <x:v>0</x:v>
      </x:c>
      <x:c r="I61" s="72" t="str">
        <x:f>IF(OR(G61="",G61&lt;1,G61&gt;5),"",CHOOSE(G61,9,6,4,2,1)+2*IF(H61="",0,H61))</x:f>
      </x:c>
      <x:c r="J61" s="63" t="str"/>
    </x:row>
    <x:row r="62">
      <x:c r="A62" s="72" t="n">
        <x:v>2</x:v>
      </x:c>
      <x:c r="B62" s="72" t="str">
        <x:v>B</x:v>
      </x:c>
      <x:c r="C62" s="72" t="n">
        <x:v>3</x:v>
      </x:c>
      <x:c r="D62" s="72" t="n">
        <x:v>48</x:v>
      </x:c>
      <x:c r="E62" s="72" t="str">
        <x:f>IFERROR(IF(VLOOKUP(D62,Giocatori!$A$4:$C$73,2,FALSE)&lt;&gt;"",VLOOKUP(D62,Giocatori!$A$4:$C$73,2,FALSE),"Giocatore "&amp;D62),"Giocatore "&amp;D62)</x:f>
        <x:v>Nspolitano Carlo</x:v>
      </x:c>
      <x:c r="F62" s="63" t="str"/>
      <x:c r="G62" s="63" t="str"/>
      <x:c r="H62" s="63" t="n">
        <x:v>0</x:v>
      </x:c>
      <x:c r="I62" s="72" t="str">
        <x:f>IF(OR(G62="",G62&lt;1,G62&gt;5),"",CHOOSE(G62,9,6,4,2,1)+2*IF(H62="",0,H62))</x:f>
      </x:c>
      <x:c r="J62" s="63" t="str"/>
    </x:row>
    <x:row r="63">
      <x:c r="A63" s="72" t="n">
        <x:v>2</x:v>
      </x:c>
      <x:c r="B63" s="72" t="str">
        <x:v>B</x:v>
      </x:c>
      <x:c r="C63" s="72" t="n">
        <x:v>4</x:v>
      </x:c>
      <x:c r="D63" s="72" t="n">
        <x:v>44</x:v>
      </x:c>
      <x:c r="E63" s="72" t="str">
        <x:f>IFERROR(IF(VLOOKUP(D63,Giocatori!$A$4:$C$73,2,FALSE)&lt;&gt;"",VLOOKUP(D63,Giocatori!$A$4:$C$73,2,FALSE),"Giocatore "&amp;D63),"Giocatore "&amp;D63)</x:f>
        <x:v>Abbate Michele</x:v>
      </x:c>
      <x:c r="F63" s="63" t="str"/>
      <x:c r="G63" s="63" t="str"/>
      <x:c r="H63" s="63" t="n">
        <x:v>0</x:v>
      </x:c>
      <x:c r="I63" s="72" t="str">
        <x:f>IF(OR(G63="",G63&lt;1,G63&gt;5),"",CHOOSE(G63,9,6,4,2,1)+2*IF(H63="",0,H63))</x:f>
      </x:c>
      <x:c r="J63" s="63" t="str"/>
    </x:row>
    <x:row r="64">
      <x:c r="A64" s="72" t="n">
        <x:v>2</x:v>
      </x:c>
      <x:c r="B64" s="72" t="str">
        <x:v>B</x:v>
      </x:c>
      <x:c r="C64" s="72" t="n">
        <x:v>5</x:v>
      </x:c>
      <x:c r="D64" s="72" t="n">
        <x:v>40</x:v>
      </x:c>
      <x:c r="E64" s="72" t="str">
        <x:f>IFERROR(IF(VLOOKUP(D64,Giocatori!$A$4:$C$73,2,FALSE)&lt;&gt;"",VLOOKUP(D64,Giocatori!$A$4:$C$73,2,FALSE),"Giocatore "&amp;D64),"Giocatore "&amp;D64)</x:f>
        <x:v>Carbone Felice</x:v>
      </x:c>
      <x:c r="F64" s="63" t="str"/>
      <x:c r="G64" s="63" t="str"/>
      <x:c r="H64" s="63" t="n">
        <x:v>0</x:v>
      </x:c>
      <x:c r="I64" s="72" t="str">
        <x:f>IF(OR(G64="",G64&lt;1,G64&gt;5),"",CHOOSE(G64,9,6,4,2,1)+2*IF(H64="",0,H64))</x:f>
      </x:c>
      <x:c r="J64" s="63" t="str"/>
    </x:row>
    <x:row r="65">
      <x:c r="A65" s="72" t="n">
        <x:v>2</x:v>
      </x:c>
      <x:c r="B65" s="72" t="str">
        <x:v>C</x:v>
      </x:c>
      <x:c r="C65" s="72" t="n">
        <x:v>1</x:v>
      </x:c>
      <x:c r="D65" s="72" t="n">
        <x:v>11</x:v>
      </x:c>
      <x:c r="E65" s="72" t="str">
        <x:f>IFERROR(IF(VLOOKUP(D65,Giocatori!$A$4:$C$73,2,FALSE)&lt;&gt;"",VLOOKUP(D65,Giocatori!$A$4:$C$73,2,FALSE),"Giocatore "&amp;D65),"Giocatore "&amp;D65)</x:f>
        <x:v>Notaro Giacomo</x:v>
      </x:c>
      <x:c r="F65" s="63" t="str"/>
      <x:c r="G65" s="63" t="str"/>
      <x:c r="H65" s="63" t="n">
        <x:v>0</x:v>
      </x:c>
      <x:c r="I65" s="72" t="str">
        <x:f>IF(OR(G65="",G65&lt;1,G65&gt;5),"",CHOOSE(G65,9,6,4,2,1)+2*IF(H65="",0,H65))</x:f>
      </x:c>
      <x:c r="J65" s="63" t="str"/>
    </x:row>
    <x:row r="66">
      <x:c r="A66" s="72" t="n">
        <x:v>2</x:v>
      </x:c>
      <x:c r="B66" s="72" t="str">
        <x:v>C</x:v>
      </x:c>
      <x:c r="C66" s="72" t="n">
        <x:v>2</x:v>
      </x:c>
      <x:c r="D66" s="72" t="n">
        <x:v>7</x:v>
      </x:c>
      <x:c r="E66" s="72" t="str">
        <x:f>IFERROR(IF(VLOOKUP(D66,Giocatori!$A$4:$C$73,2,FALSE)&lt;&gt;"",VLOOKUP(D66,Giocatori!$A$4:$C$73,2,FALSE),"Giocatore "&amp;D66),"Giocatore "&amp;D66)</x:f>
        <x:v>Ambrosino Michele</x:v>
      </x:c>
      <x:c r="F66" s="63" t="str"/>
      <x:c r="G66" s="63" t="str"/>
      <x:c r="H66" s="63" t="n">
        <x:v>0</x:v>
      </x:c>
      <x:c r="I66" s="72" t="str">
        <x:f>IF(OR(G66="",G66&lt;1,G66&gt;5),"",CHOOSE(G66,9,6,4,2,1)+2*IF(H66="",0,H66))</x:f>
      </x:c>
      <x:c r="J66" s="63" t="str"/>
    </x:row>
    <x:row r="67">
      <x:c r="A67" s="72" t="n">
        <x:v>2</x:v>
      </x:c>
      <x:c r="B67" s="72" t="str">
        <x:v>C</x:v>
      </x:c>
      <x:c r="C67" s="72" t="n">
        <x:v>3</x:v>
      </x:c>
      <x:c r="D67" s="72" t="n">
        <x:v>3</x:v>
      </x:c>
      <x:c r="E67" s="72" t="str">
        <x:f>IFERROR(IF(VLOOKUP(D67,Giocatori!$A$4:$C$73,2,FALSE)&lt;&gt;"",VLOOKUP(D67,Giocatori!$A$4:$C$73,2,FALSE),"Giocatore "&amp;D67),"Giocatore "&amp;D67)</x:f>
        <x:v>Sommese Antonio</x:v>
      </x:c>
      <x:c r="F67" s="63" t="str"/>
      <x:c r="G67" s="63" t="str"/>
      <x:c r="H67" s="63" t="n">
        <x:v>0</x:v>
      </x:c>
      <x:c r="I67" s="72" t="str">
        <x:f>IF(OR(G67="",G67&lt;1,G67&gt;5),"",CHOOSE(G67,9,6,4,2,1)+2*IF(H67="",0,H67))</x:f>
      </x:c>
      <x:c r="J67" s="63" t="str"/>
    </x:row>
    <x:row r="68">
      <x:c r="A68" s="72" t="n">
        <x:v>2</x:v>
      </x:c>
      <x:c r="B68" s="72" t="str">
        <x:v>C</x:v>
      </x:c>
      <x:c r="C68" s="72" t="n">
        <x:v>4</x:v>
      </x:c>
      <x:c r="D68" s="72" t="n">
        <x:v>49</x:v>
      </x:c>
      <x:c r="E68" s="72" t="str">
        <x:f>IFERROR(IF(VLOOKUP(D68,Giocatori!$A$4:$C$73,2,FALSE)&lt;&gt;"",VLOOKUP(D68,Giocatori!$A$4:$C$73,2,FALSE),"Giocatore "&amp;D68),"Giocatore "&amp;D68)</x:f>
        <x:v>Tufano Michele</x:v>
      </x:c>
      <x:c r="F68" s="63" t="str"/>
      <x:c r="G68" s="63" t="str"/>
      <x:c r="H68" s="63" t="n">
        <x:v>0</x:v>
      </x:c>
      <x:c r="I68" s="72" t="str">
        <x:f>IF(OR(G68="",G68&lt;1,G68&gt;5),"",CHOOSE(G68,9,6,4,2,1)+2*IF(H68="",0,H68))</x:f>
      </x:c>
      <x:c r="J68" s="63" t="str"/>
    </x:row>
    <x:row r="69">
      <x:c r="A69" s="72" t="n">
        <x:v>2</x:v>
      </x:c>
      <x:c r="B69" s="72" t="str">
        <x:v>C</x:v>
      </x:c>
      <x:c r="C69" s="72" t="n">
        <x:v>5</x:v>
      </x:c>
      <x:c r="D69" s="72" t="n">
        <x:v>45</x:v>
      </x:c>
      <x:c r="E69" s="72" t="str">
        <x:f>IFERROR(IF(VLOOKUP(D69,Giocatori!$A$4:$C$73,2,FALSE)&lt;&gt;"",VLOOKUP(D69,Giocatori!$A$4:$C$73,2,FALSE),"Giocatore "&amp;D69),"Giocatore "&amp;D69)</x:f>
        <x:v>Isernia Antonio</x:v>
      </x:c>
      <x:c r="F69" s="63" t="str"/>
      <x:c r="G69" s="63" t="str"/>
      <x:c r="H69" s="63" t="n">
        <x:v>0</x:v>
      </x:c>
      <x:c r="I69" s="72" t="str">
        <x:f>IF(OR(G69="",G69&lt;1,G69&gt;5),"",CHOOSE(G69,9,6,4,2,1)+2*IF(H69="",0,H69))</x:f>
      </x:c>
      <x:c r="J69" s="63" t="str"/>
    </x:row>
    <x:row r="70">
      <x:c r="A70" s="72" t="n">
        <x:v>2</x:v>
      </x:c>
      <x:c r="B70" s="72" t="str">
        <x:v>D</x:v>
      </x:c>
      <x:c r="C70" s="72" t="n">
        <x:v>1</x:v>
      </x:c>
      <x:c r="D70" s="72" t="n">
        <x:v>16</x:v>
      </x:c>
      <x:c r="E70" s="72" t="str">
        <x:f>IFERROR(IF(VLOOKUP(D70,Giocatori!$A$4:$C$73,2,FALSE)&lt;&gt;"",VLOOKUP(D70,Giocatori!$A$4:$C$73,2,FALSE),"Giocatore "&amp;D70),"Giocatore "&amp;D70)</x:f>
        <x:v>Beracci Benedetto</x:v>
      </x:c>
      <x:c r="F70" s="63" t="str"/>
      <x:c r="G70" s="63" t="str"/>
      <x:c r="H70" s="63" t="n">
        <x:v>0</x:v>
      </x:c>
      <x:c r="I70" s="72" t="str">
        <x:f>IF(OR(G70="",G70&lt;1,G70&gt;5),"",CHOOSE(G70,9,6,4,2,1)+2*IF(H70="",0,H70))</x:f>
      </x:c>
      <x:c r="J70" s="63" t="str"/>
    </x:row>
    <x:row r="71">
      <x:c r="A71" s="72" t="n">
        <x:v>2</x:v>
      </x:c>
      <x:c r="B71" s="72" t="str">
        <x:v>D</x:v>
      </x:c>
      <x:c r="C71" s="72" t="n">
        <x:v>2</x:v>
      </x:c>
      <x:c r="D71" s="72" t="n">
        <x:v>12</x:v>
      </x:c>
      <x:c r="E71" s="72" t="str">
        <x:f>IFERROR(IF(VLOOKUP(D71,Giocatori!$A$4:$C$73,2,FALSE)&lt;&gt;"",VLOOKUP(D71,Giocatori!$A$4:$C$73,2,FALSE),"Giocatore "&amp;D71),"Giocatore "&amp;D71)</x:f>
        <x:v>Scognamiglio Alfredo</x:v>
      </x:c>
      <x:c r="F71" s="63" t="str"/>
      <x:c r="G71" s="63" t="str"/>
      <x:c r="H71" s="63" t="n">
        <x:v>0</x:v>
      </x:c>
      <x:c r="I71" s="72" t="str">
        <x:f>IF(OR(G71="",G71&lt;1,G71&gt;5),"",CHOOSE(G71,9,6,4,2,1)+2*IF(H71="",0,H71))</x:f>
      </x:c>
      <x:c r="J71" s="63" t="str"/>
    </x:row>
    <x:row r="72">
      <x:c r="A72" s="72" t="n">
        <x:v>2</x:v>
      </x:c>
      <x:c r="B72" s="72" t="str">
        <x:v>D</x:v>
      </x:c>
      <x:c r="C72" s="72" t="n">
        <x:v>3</x:v>
      </x:c>
      <x:c r="D72" s="72" t="n">
        <x:v>8</x:v>
      </x:c>
      <x:c r="E72" s="72" t="str">
        <x:f>IFERROR(IF(VLOOKUP(D72,Giocatori!$A$4:$C$73,2,FALSE)&lt;&gt;"",VLOOKUP(D72,Giocatori!$A$4:$C$73,2,FALSE),"Giocatore "&amp;D72),"Giocatore "&amp;D72)</x:f>
        <x:v>Ambrosino Raffaele</x:v>
      </x:c>
      <x:c r="F72" s="63" t="str"/>
      <x:c r="G72" s="63" t="str"/>
      <x:c r="H72" s="63" t="n">
        <x:v>0</x:v>
      </x:c>
      <x:c r="I72" s="72" t="str">
        <x:f>IF(OR(G72="",G72&lt;1,G72&gt;5),"",CHOOSE(G72,9,6,4,2,1)+2*IF(H72="",0,H72))</x:f>
      </x:c>
      <x:c r="J72" s="63" t="str"/>
    </x:row>
    <x:row r="73">
      <x:c r="A73" s="72" t="n">
        <x:v>2</x:v>
      </x:c>
      <x:c r="B73" s="72" t="str">
        <x:v>D</x:v>
      </x:c>
      <x:c r="C73" s="72" t="n">
        <x:v>4</x:v>
      </x:c>
      <x:c r="D73" s="72" t="n">
        <x:v>4</x:v>
      </x:c>
      <x:c r="E73" s="72" t="str">
        <x:f>IFERROR(IF(VLOOKUP(D73,Giocatori!$A$4:$C$73,2,FALSE)&lt;&gt;"",VLOOKUP(D73,Giocatori!$A$4:$C$73,2,FALSE),"Giocatore "&amp;D73),"Giocatore "&amp;D73)</x:f>
        <x:v>Annunziata Raffaele</x:v>
      </x:c>
      <x:c r="F73" s="63" t="str"/>
      <x:c r="G73" s="63" t="str"/>
      <x:c r="H73" s="63" t="n">
        <x:v>0</x:v>
      </x:c>
      <x:c r="I73" s="72" t="str">
        <x:f>IF(OR(G73="",G73&lt;1,G73&gt;5),"",CHOOSE(G73,9,6,4,2,1)+2*IF(H73="",0,H73))</x:f>
      </x:c>
      <x:c r="J73" s="63" t="str"/>
    </x:row>
    <x:row r="74">
      <x:c r="A74" s="72" t="n">
        <x:v>2</x:v>
      </x:c>
      <x:c r="B74" s="72" t="str">
        <x:v>D</x:v>
      </x:c>
      <x:c r="C74" s="72" t="n">
        <x:v>5</x:v>
      </x:c>
      <x:c r="D74" s="72" t="n">
        <x:v>50</x:v>
      </x:c>
      <x:c r="E74" s="72" t="str">
        <x:f>IFERROR(IF(VLOOKUP(D74,Giocatori!$A$4:$C$73,2,FALSE)&lt;&gt;"",VLOOKUP(D74,Giocatori!$A$4:$C$73,2,FALSE),"Giocatore "&amp;D74),"Giocatore "&amp;D74)</x:f>
        <x:v>Bartolo</x:v>
      </x:c>
      <x:c r="F74" s="63" t="str"/>
      <x:c r="G74" s="63" t="str"/>
      <x:c r="H74" s="63" t="n">
        <x:v>0</x:v>
      </x:c>
      <x:c r="I74" s="72" t="str">
        <x:f>IF(OR(G74="",G74&lt;1,G74&gt;5),"",CHOOSE(G74,9,6,4,2,1)+2*IF(H74="",0,H74))</x:f>
      </x:c>
      <x:c r="J74" s="63" t="str"/>
    </x:row>
    <x:row r="75">
      <x:c r="A75" s="72" t="n">
        <x:v>2</x:v>
      </x:c>
      <x:c r="B75" s="72" t="str">
        <x:v>E</x:v>
      </x:c>
      <x:c r="C75" s="72" t="n">
        <x:v>1</x:v>
      </x:c>
      <x:c r="D75" s="72" t="n">
        <x:v>21</x:v>
      </x:c>
      <x:c r="E75" s="72" t="str">
        <x:f>IFERROR(IF(VLOOKUP(D75,Giocatori!$A$4:$C$73,2,FALSE)&lt;&gt;"",VLOOKUP(D75,Giocatori!$A$4:$C$73,2,FALSE),"Giocatore "&amp;D75),"Giocatore "&amp;D75)</x:f>
        <x:v>Tufano Raffaele</x:v>
      </x:c>
      <x:c r="F75" s="63" t="str"/>
      <x:c r="G75" s="63" t="str"/>
      <x:c r="H75" s="63" t="n">
        <x:v>0</x:v>
      </x:c>
      <x:c r="I75" s="72" t="str">
        <x:f>IF(OR(G75="",G75&lt;1,G75&gt;5),"",CHOOSE(G75,9,6,4,2,1)+2*IF(H75="",0,H75))</x:f>
      </x:c>
      <x:c r="J75" s="63" t="str"/>
    </x:row>
    <x:row r="76">
      <x:c r="A76" s="72" t="n">
        <x:v>2</x:v>
      </x:c>
      <x:c r="B76" s="72" t="str">
        <x:v>E</x:v>
      </x:c>
      <x:c r="C76" s="72" t="n">
        <x:v>2</x:v>
      </x:c>
      <x:c r="D76" s="72" t="n">
        <x:v>17</x:v>
      </x:c>
      <x:c r="E76" s="72" t="str">
        <x:f>IFERROR(IF(VLOOKUP(D76,Giocatori!$A$4:$C$73,2,FALSE)&lt;&gt;"",VLOOKUP(D76,Giocatori!$A$4:$C$73,2,FALSE),"Giocatore "&amp;D76),"Giocatore "&amp;D76)</x:f>
        <x:v>Tufano Giovanni</x:v>
      </x:c>
      <x:c r="F76" s="63" t="str"/>
      <x:c r="G76" s="63" t="str"/>
      <x:c r="H76" s="63" t="n">
        <x:v>0</x:v>
      </x:c>
      <x:c r="I76" s="72" t="str">
        <x:f>IF(OR(G76="",G76&lt;1,G76&gt;5),"",CHOOSE(G76,9,6,4,2,1)+2*IF(H76="",0,H76))</x:f>
      </x:c>
      <x:c r="J76" s="63" t="str"/>
    </x:row>
    <x:row r="77">
      <x:c r="A77" s="72" t="n">
        <x:v>2</x:v>
      </x:c>
      <x:c r="B77" s="72" t="str">
        <x:v>E</x:v>
      </x:c>
      <x:c r="C77" s="72" t="n">
        <x:v>3</x:v>
      </x:c>
      <x:c r="D77" s="72" t="n">
        <x:v>13</x:v>
      </x:c>
      <x:c r="E77" s="72" t="str">
        <x:f>IFERROR(IF(VLOOKUP(D77,Giocatori!$A$4:$C$73,2,FALSE)&lt;&gt;"",VLOOKUP(D77,Giocatori!$A$4:$C$73,2,FALSE),"Giocatore "&amp;D77),"Giocatore "&amp;D77)</x:f>
        <x:v>Del Vecchio Diego</x:v>
      </x:c>
      <x:c r="F77" s="63" t="str"/>
      <x:c r="G77" s="63" t="str"/>
      <x:c r="H77" s="63" t="n">
        <x:v>0</x:v>
      </x:c>
      <x:c r="I77" s="72" t="str">
        <x:f>IF(OR(G77="",G77&lt;1,G77&gt;5),"",CHOOSE(G77,9,6,4,2,1)+2*IF(H77="",0,H77))</x:f>
      </x:c>
      <x:c r="J77" s="63" t="str"/>
    </x:row>
    <x:row r="78">
      <x:c r="A78" s="72" t="n">
        <x:v>2</x:v>
      </x:c>
      <x:c r="B78" s="72" t="str">
        <x:v>E</x:v>
      </x:c>
      <x:c r="C78" s="72" t="n">
        <x:v>4</x:v>
      </x:c>
      <x:c r="D78" s="72" t="n">
        <x:v>9</x:v>
      </x:c>
      <x:c r="E78" s="72" t="str">
        <x:f>IFERROR(IF(VLOOKUP(D78,Giocatori!$A$4:$C$73,2,FALSE)&lt;&gt;"",VLOOKUP(D78,Giocatori!$A$4:$C$73,2,FALSE),"Giocatore "&amp;D78),"Giocatore "&amp;D78)</x:f>
        <x:v>Nappo Angelo</x:v>
      </x:c>
      <x:c r="F78" s="63" t="str"/>
      <x:c r="G78" s="63" t="str"/>
      <x:c r="H78" s="63" t="n">
        <x:v>0</x:v>
      </x:c>
      <x:c r="I78" s="72" t="str">
        <x:f>IF(OR(G78="",G78&lt;1,G78&gt;5),"",CHOOSE(G78,9,6,4,2,1)+2*IF(H78="",0,H78))</x:f>
      </x:c>
      <x:c r="J78" s="63" t="str"/>
    </x:row>
    <x:row r="79">
      <x:c r="A79" s="72" t="n">
        <x:v>2</x:v>
      </x:c>
      <x:c r="B79" s="72" t="str">
        <x:v>E</x:v>
      </x:c>
      <x:c r="C79" s="72" t="n">
        <x:v>5</x:v>
      </x:c>
      <x:c r="D79" s="72" t="n">
        <x:v>5</x:v>
      </x:c>
      <x:c r="E79" s="72" t="str">
        <x:f>IFERROR(IF(VLOOKUP(D79,Giocatori!$A$4:$C$73,2,FALSE)&lt;&gt;"",VLOOKUP(D79,Giocatori!$A$4:$C$73,2,FALSE),"Giocatore "&amp;D79),"Giocatore "&amp;D79)</x:f>
        <x:v>La Marca Pasquale</x:v>
      </x:c>
      <x:c r="F79" s="63" t="str"/>
      <x:c r="G79" s="63" t="str"/>
      <x:c r="H79" s="63" t="n">
        <x:v>0</x:v>
      </x:c>
      <x:c r="I79" s="72" t="str">
        <x:f>IF(OR(G79="",G79&lt;1,G79&gt;5),"",CHOOSE(G79,9,6,4,2,1)+2*IF(H79="",0,H79))</x:f>
      </x:c>
      <x:c r="J79" s="63" t="str"/>
    </x:row>
    <x:row r="80">
      <x:c r="A80" s="72" t="n">
        <x:v>2</x:v>
      </x:c>
      <x:c r="B80" s="72" t="str">
        <x:v>F</x:v>
      </x:c>
      <x:c r="C80" s="72" t="n">
        <x:v>1</x:v>
      </x:c>
      <x:c r="D80" s="72" t="n">
        <x:v>26</x:v>
      </x:c>
      <x:c r="E80" s="72" t="str">
        <x:f>IFERROR(IF(VLOOKUP(D80,Giocatori!$A$4:$C$73,2,FALSE)&lt;&gt;"",VLOOKUP(D80,Giocatori!$A$4:$C$73,2,FALSE),"Giocatore "&amp;D80),"Giocatore "&amp;D80)</x:f>
        <x:v>Gesso Marco</x:v>
      </x:c>
      <x:c r="F80" s="63" t="str"/>
      <x:c r="G80" s="63" t="str"/>
      <x:c r="H80" s="63" t="n">
        <x:v>0</x:v>
      </x:c>
      <x:c r="I80" s="72" t="str">
        <x:f>IF(OR(G80="",G80&lt;1,G80&gt;5),"",CHOOSE(G80,9,6,4,2,1)+2*IF(H80="",0,H80))</x:f>
      </x:c>
      <x:c r="J80" s="63" t="str"/>
    </x:row>
    <x:row r="81">
      <x:c r="A81" s="72" t="n">
        <x:v>2</x:v>
      </x:c>
      <x:c r="B81" s="72" t="str">
        <x:v>F</x:v>
      </x:c>
      <x:c r="C81" s="72" t="n">
        <x:v>2</x:v>
      </x:c>
      <x:c r="D81" s="72" t="n">
        <x:v>22</x:v>
      </x:c>
      <x:c r="E81" s="72" t="str">
        <x:f>IFERROR(IF(VLOOKUP(D81,Giocatori!$A$4:$C$73,2,FALSE)&lt;&gt;"",VLOOKUP(D81,Giocatori!$A$4:$C$73,2,FALSE),"Giocatore "&amp;D81),"Giocatore "&amp;D81)</x:f>
        <x:v>Napolitano Antonio</x:v>
      </x:c>
      <x:c r="F81" s="63" t="str"/>
      <x:c r="G81" s="63" t="str"/>
      <x:c r="H81" s="63" t="n">
        <x:v>0</x:v>
      </x:c>
      <x:c r="I81" s="72" t="str">
        <x:f>IF(OR(G81="",G81&lt;1,G81&gt;5),"",CHOOSE(G81,9,6,4,2,1)+2*IF(H81="",0,H81))</x:f>
      </x:c>
      <x:c r="J81" s="63" t="str"/>
    </x:row>
    <x:row r="82">
      <x:c r="A82" s="72" t="n">
        <x:v>2</x:v>
      </x:c>
      <x:c r="B82" s="72" t="str">
        <x:v>F</x:v>
      </x:c>
      <x:c r="C82" s="72" t="n">
        <x:v>3</x:v>
      </x:c>
      <x:c r="D82" s="72" t="n">
        <x:v>18</x:v>
      </x:c>
      <x:c r="E82" s="72" t="str">
        <x:f>IFERROR(IF(VLOOKUP(D82,Giocatori!$A$4:$C$73,2,FALSE)&lt;&gt;"",VLOOKUP(D82,Giocatori!$A$4:$C$73,2,FALSE),"Giocatore "&amp;D82),"Giocatore "&amp;D82)</x:f>
        <x:v>Ambrosino Gabriele</x:v>
      </x:c>
      <x:c r="F82" s="63" t="str"/>
      <x:c r="G82" s="63" t="str"/>
      <x:c r="H82" s="63" t="n">
        <x:v>0</x:v>
      </x:c>
      <x:c r="I82" s="72" t="str">
        <x:f>IF(OR(G82="",G82&lt;1,G82&gt;5),"",CHOOSE(G82,9,6,4,2,1)+2*IF(H82="",0,H82))</x:f>
      </x:c>
      <x:c r="J82" s="63" t="str"/>
    </x:row>
    <x:row r="83">
      <x:c r="A83" s="72" t="n">
        <x:v>2</x:v>
      </x:c>
      <x:c r="B83" s="72" t="str">
        <x:v>F</x:v>
      </x:c>
      <x:c r="C83" s="72" t="n">
        <x:v>4</x:v>
      </x:c>
      <x:c r="D83" s="72" t="n">
        <x:v>14</x:v>
      </x:c>
      <x:c r="E83" s="72" t="str">
        <x:f>IFERROR(IF(VLOOKUP(D83,Giocatori!$A$4:$C$73,2,FALSE)&lt;&gt;"",VLOOKUP(D83,Giocatori!$A$4:$C$73,2,FALSE),"Giocatore "&amp;D83),"Giocatore "&amp;D83)</x:f>
        <x:v>Beracci Lucio</x:v>
      </x:c>
      <x:c r="F83" s="63" t="str"/>
      <x:c r="G83" s="63" t="str"/>
      <x:c r="H83" s="63" t="n">
        <x:v>0</x:v>
      </x:c>
      <x:c r="I83" s="72" t="str">
        <x:f>IF(OR(G83="",G83&lt;1,G83&gt;5),"",CHOOSE(G83,9,6,4,2,1)+2*IF(H83="",0,H83))</x:f>
      </x:c>
      <x:c r="J83" s="63" t="str"/>
    </x:row>
    <x:row r="84">
      <x:c r="A84" s="72" t="n">
        <x:v>2</x:v>
      </x:c>
      <x:c r="B84" s="72" t="str">
        <x:v>F</x:v>
      </x:c>
      <x:c r="C84" s="72" t="n">
        <x:v>5</x:v>
      </x:c>
      <x:c r="D84" s="72" t="n">
        <x:v>10</x:v>
      </x:c>
      <x:c r="E84" s="72" t="str">
        <x:f>IFERROR(IF(VLOOKUP(D84,Giocatori!$A$4:$C$73,2,FALSE)&lt;&gt;"",VLOOKUP(D84,Giocatori!$A$4:$C$73,2,FALSE),"Giocatore "&amp;D84),"Giocatore "&amp;D84)</x:f>
        <x:v>Cavallaro Erasmo</x:v>
      </x:c>
      <x:c r="F84" s="63" t="str"/>
      <x:c r="G84" s="63" t="str"/>
      <x:c r="H84" s="63" t="n">
        <x:v>0</x:v>
      </x:c>
      <x:c r="I84" s="72" t="str">
        <x:f>IF(OR(G84="",G84&lt;1,G84&gt;5),"",CHOOSE(G84,9,6,4,2,1)+2*IF(H84="",0,H84))</x:f>
      </x:c>
      <x:c r="J84" s="63" t="str"/>
    </x:row>
    <x:row r="85">
      <x:c r="A85" s="72" t="n">
        <x:v>2</x:v>
      </x:c>
      <x:c r="B85" s="72" t="str">
        <x:v>G</x:v>
      </x:c>
      <x:c r="C85" s="72" t="n">
        <x:v>1</x:v>
      </x:c>
      <x:c r="D85" s="72" t="n">
        <x:v>31</x:v>
      </x:c>
      <x:c r="E85" s="72" t="str">
        <x:f>IFERROR(IF(VLOOKUP(D85,Giocatori!$A$4:$C$73,2,FALSE)&lt;&gt;"",VLOOKUP(D85,Giocatori!$A$4:$C$73,2,FALSE),"Giocatore "&amp;D85),"Giocatore "&amp;D85)</x:f>
        <x:v>Polacco Tommaso</x:v>
      </x:c>
      <x:c r="F85" s="63" t="str"/>
      <x:c r="G85" s="63" t="str"/>
      <x:c r="H85" s="63" t="n">
        <x:v>0</x:v>
      </x:c>
      <x:c r="I85" s="72" t="str">
        <x:f>IF(OR(G85="",G85&lt;1,G85&gt;5),"",CHOOSE(G85,9,6,4,2,1)+2*IF(H85="",0,H85))</x:f>
      </x:c>
      <x:c r="J85" s="63" t="str"/>
    </x:row>
    <x:row r="86">
      <x:c r="A86" s="72" t="n">
        <x:v>2</x:v>
      </x:c>
      <x:c r="B86" s="72" t="str">
        <x:v>G</x:v>
      </x:c>
      <x:c r="C86" s="72" t="n">
        <x:v>2</x:v>
      </x:c>
      <x:c r="D86" s="72" t="n">
        <x:v>27</x:v>
      </x:c>
      <x:c r="E86" s="72" t="str">
        <x:f>IFERROR(IF(VLOOKUP(D86,Giocatori!$A$4:$C$73,2,FALSE)&lt;&gt;"",VLOOKUP(D86,Giocatori!$A$4:$C$73,2,FALSE),"Giocatore "&amp;D86),"Giocatore "&amp;D86)</x:f>
        <x:v>Napolitano Angelo</x:v>
      </x:c>
      <x:c r="F86" s="63" t="str"/>
      <x:c r="G86" s="63" t="str"/>
      <x:c r="H86" s="63" t="n">
        <x:v>0</x:v>
      </x:c>
      <x:c r="I86" s="72" t="str">
        <x:f>IF(OR(G86="",G86&lt;1,G86&gt;5),"",CHOOSE(G86,9,6,4,2,1)+2*IF(H86="",0,H86))</x:f>
      </x:c>
      <x:c r="J86" s="63" t="str"/>
    </x:row>
    <x:row r="87">
      <x:c r="A87" s="72" t="n">
        <x:v>2</x:v>
      </x:c>
      <x:c r="B87" s="72" t="str">
        <x:v>G</x:v>
      </x:c>
      <x:c r="C87" s="72" t="n">
        <x:v>3</x:v>
      </x:c>
      <x:c r="D87" s="72" t="n">
        <x:v>23</x:v>
      </x:c>
      <x:c r="E87" s="72" t="str">
        <x:f>IFERROR(IF(VLOOKUP(D87,Giocatori!$A$4:$C$73,2,FALSE)&lt;&gt;"",VLOOKUP(D87,Giocatori!$A$4:$C$73,2,FALSE),"Giocatore "&amp;D87),"Giocatore "&amp;D87)</x:f>
        <x:v>Notaro Massimo</x:v>
      </x:c>
      <x:c r="F87" s="63" t="str"/>
      <x:c r="G87" s="63" t="str"/>
      <x:c r="H87" s="63" t="n">
        <x:v>0</x:v>
      </x:c>
      <x:c r="I87" s="72" t="str">
        <x:f>IF(OR(G87="",G87&lt;1,G87&gt;5),"",CHOOSE(G87,9,6,4,2,1)+2*IF(H87="",0,H87))</x:f>
      </x:c>
      <x:c r="J87" s="63" t="str"/>
    </x:row>
    <x:row r="88">
      <x:c r="A88" s="72" t="n">
        <x:v>2</x:v>
      </x:c>
      <x:c r="B88" s="72" t="str">
        <x:v>G</x:v>
      </x:c>
      <x:c r="C88" s="72" t="n">
        <x:v>4</x:v>
      </x:c>
      <x:c r="D88" s="72" t="n">
        <x:v>19</x:v>
      </x:c>
      <x:c r="E88" s="72" t="str">
        <x:f>IFERROR(IF(VLOOKUP(D88,Giocatori!$A$4:$C$73,2,FALSE)&lt;&gt;"",VLOOKUP(D88,Giocatori!$A$4:$C$73,2,FALSE),"Giocatore "&amp;D88),"Giocatore "&amp;D88)</x:f>
        <x:v>Strocchia Franco</x:v>
      </x:c>
      <x:c r="F88" s="63" t="str"/>
      <x:c r="G88" s="63" t="str"/>
      <x:c r="H88" s="63" t="n">
        <x:v>0</x:v>
      </x:c>
      <x:c r="I88" s="72" t="str">
        <x:f>IF(OR(G88="",G88&lt;1,G88&gt;5),"",CHOOSE(G88,9,6,4,2,1)+2*IF(H88="",0,H88))</x:f>
      </x:c>
      <x:c r="J88" s="63" t="str"/>
    </x:row>
    <x:row r="89">
      <x:c r="A89" s="72" t="n">
        <x:v>2</x:v>
      </x:c>
      <x:c r="B89" s="72" t="str">
        <x:v>G</x:v>
      </x:c>
      <x:c r="C89" s="72" t="n">
        <x:v>5</x:v>
      </x:c>
      <x:c r="D89" s="72" t="n">
        <x:v>15</x:v>
      </x:c>
      <x:c r="E89" s="72" t="str">
        <x:f>IFERROR(IF(VLOOKUP(D89,Giocatori!$A$4:$C$73,2,FALSE)&lt;&gt;"",VLOOKUP(D89,Giocatori!$A$4:$C$73,2,FALSE),"Giocatore "&amp;D89),"Giocatore "&amp;D89)</x:f>
        <x:v>De Falco Andrea</x:v>
      </x:c>
      <x:c r="F89" s="63" t="str"/>
      <x:c r="G89" s="63" t="str"/>
      <x:c r="H89" s="63" t="n">
        <x:v>0</x:v>
      </x:c>
      <x:c r="I89" s="72" t="str">
        <x:f>IF(OR(G89="",G89&lt;1,G89&gt;5),"",CHOOSE(G89,9,6,4,2,1)+2*IF(H89="",0,H89))</x:f>
      </x:c>
      <x:c r="J89" s="63" t="str"/>
    </x:row>
    <x:row r="90">
      <x:c r="A90" s="72" t="n">
        <x:v>2</x:v>
      </x:c>
      <x:c r="B90" s="72" t="str">
        <x:v>H</x:v>
      </x:c>
      <x:c r="C90" s="72" t="n">
        <x:v>1</x:v>
      </x:c>
      <x:c r="D90" s="72" t="n">
        <x:v>36</x:v>
      </x:c>
      <x:c r="E90" s="72" t="str">
        <x:f>IFERROR(IF(VLOOKUP(D90,Giocatori!$A$4:$C$73,2,FALSE)&lt;&gt;"",VLOOKUP(D90,Giocatori!$A$4:$C$73,2,FALSE),"Giocatore "&amp;D90),"Giocatore "&amp;D90)</x:f>
        <x:v>Moccia Biagio</x:v>
      </x:c>
      <x:c r="F90" s="63" t="str"/>
      <x:c r="G90" s="63" t="str"/>
      <x:c r="H90" s="63" t="n">
        <x:v>0</x:v>
      </x:c>
      <x:c r="I90" s="72" t="str">
        <x:f>IF(OR(G90="",G90&lt;1,G90&gt;5),"",CHOOSE(G90,9,6,4,2,1)+2*IF(H90="",0,H90))</x:f>
      </x:c>
      <x:c r="J90" s="63" t="str"/>
    </x:row>
    <x:row r="91">
      <x:c r="A91" s="72" t="n">
        <x:v>2</x:v>
      </x:c>
      <x:c r="B91" s="72" t="str">
        <x:v>H</x:v>
      </x:c>
      <x:c r="C91" s="72" t="n">
        <x:v>2</x:v>
      </x:c>
      <x:c r="D91" s="72" t="n">
        <x:v>32</x:v>
      </x:c>
      <x:c r="E91" s="72" t="str">
        <x:f>IFERROR(IF(VLOOKUP(D91,Giocatori!$A$4:$C$73,2,FALSE)&lt;&gt;"",VLOOKUP(D91,Giocatori!$A$4:$C$73,2,FALSE),"Giocatore "&amp;D91),"Giocatore "&amp;D91)</x:f>
        <x:v>Marotta Pasquale</x:v>
      </x:c>
      <x:c r="F91" s="63" t="str"/>
      <x:c r="G91" s="63" t="str"/>
      <x:c r="H91" s="63" t="n">
        <x:v>0</x:v>
      </x:c>
      <x:c r="I91" s="72" t="str">
        <x:f>IF(OR(G91="",G91&lt;1,G91&gt;5),"",CHOOSE(G91,9,6,4,2,1)+2*IF(H91="",0,H91))</x:f>
      </x:c>
      <x:c r="J91" s="63" t="str"/>
    </x:row>
    <x:row r="92">
      <x:c r="A92" s="72" t="n">
        <x:v>2</x:v>
      </x:c>
      <x:c r="B92" s="72" t="str">
        <x:v>H</x:v>
      </x:c>
      <x:c r="C92" s="72" t="n">
        <x:v>3</x:v>
      </x:c>
      <x:c r="D92" s="72" t="n">
        <x:v>28</x:v>
      </x:c>
      <x:c r="E92" s="72" t="str">
        <x:f>IFERROR(IF(VLOOKUP(D92,Giocatori!$A$4:$C$73,2,FALSE)&lt;&gt;"",VLOOKUP(D92,Giocatori!$A$4:$C$73,2,FALSE),"Giocatore "&amp;D92),"Giocatore "&amp;D92)</x:f>
        <x:v>Fontanella Carmine</x:v>
      </x:c>
      <x:c r="F92" s="63" t="str"/>
      <x:c r="G92" s="63" t="str"/>
      <x:c r="H92" s="63" t="n">
        <x:v>0</x:v>
      </x:c>
      <x:c r="I92" s="72" t="str">
        <x:f>IF(OR(G92="",G92&lt;1,G92&gt;5),"",CHOOSE(G92,9,6,4,2,1)+2*IF(H92="",0,H92))</x:f>
      </x:c>
      <x:c r="J92" s="63" t="str"/>
    </x:row>
    <x:row r="93">
      <x:c r="A93" s="72" t="n">
        <x:v>2</x:v>
      </x:c>
      <x:c r="B93" s="72" t="str">
        <x:v>H</x:v>
      </x:c>
      <x:c r="C93" s="72" t="n">
        <x:v>4</x:v>
      </x:c>
      <x:c r="D93" s="72" t="n">
        <x:v>24</x:v>
      </x:c>
      <x:c r="E93" s="72" t="str">
        <x:f>IFERROR(IF(VLOOKUP(D93,Giocatori!$A$4:$C$73,2,FALSE)&lt;&gt;"",VLOOKUP(D93,Giocatori!$A$4:$C$73,2,FALSE),"Giocatore "&amp;D93),"Giocatore "&amp;D93)</x:f>
        <x:v>Pierro Giuseppe</x:v>
      </x:c>
      <x:c r="F93" s="63" t="str"/>
      <x:c r="G93" s="63" t="str"/>
      <x:c r="H93" s="63" t="n">
        <x:v>0</x:v>
      </x:c>
      <x:c r="I93" s="72" t="str">
        <x:f>IF(OR(G93="",G93&lt;1,G93&gt;5),"",CHOOSE(G93,9,6,4,2,1)+2*IF(H93="",0,H93))</x:f>
      </x:c>
      <x:c r="J93" s="63" t="str"/>
    </x:row>
    <x:row r="94">
      <x:c r="A94" s="72" t="n">
        <x:v>2</x:v>
      </x:c>
      <x:c r="B94" s="72" t="str">
        <x:v>H</x:v>
      </x:c>
      <x:c r="C94" s="72" t="n">
        <x:v>5</x:v>
      </x:c>
      <x:c r="D94" s="72" t="n">
        <x:v>20</x:v>
      </x:c>
      <x:c r="E94" s="72" t="str">
        <x:f>IFERROR(IF(VLOOKUP(D94,Giocatori!$A$4:$C$73,2,FALSE)&lt;&gt;"",VLOOKUP(D94,Giocatori!$A$4:$C$73,2,FALSE),"Giocatore "&amp;D94),"Giocatore "&amp;D94)</x:f>
        <x:v>Morelli Carmine</x:v>
      </x:c>
      <x:c r="F94" s="63" t="str"/>
      <x:c r="G94" s="63" t="str"/>
      <x:c r="H94" s="63" t="n">
        <x:v>0</x:v>
      </x:c>
      <x:c r="I94" s="72" t="str">
        <x:f>IF(OR(G94="",G94&lt;1,G94&gt;5),"",CHOOSE(G94,9,6,4,2,1)+2*IF(H94="",0,H94))</x:f>
      </x:c>
      <x:c r="J94" s="63" t="str"/>
    </x:row>
    <x:row r="95">
      <x:c r="A95" s="72" t="n">
        <x:v>2</x:v>
      </x:c>
      <x:c r="B95" s="72" t="str">
        <x:v>I</x:v>
      </x:c>
      <x:c r="C95" s="72" t="n">
        <x:v>1</x:v>
      </x:c>
      <x:c r="D95" s="72" t="n">
        <x:v>41</x:v>
      </x:c>
      <x:c r="E95" s="72" t="str">
        <x:f>IFERROR(IF(VLOOKUP(D95,Giocatori!$A$4:$C$73,2,FALSE)&lt;&gt;"",VLOOKUP(D95,Giocatori!$A$4:$C$73,2,FALSE),"Giocatore "&amp;D95),"Giocatore "&amp;D95)</x:f>
        <x:v>Nocerino Nunzio</x:v>
      </x:c>
      <x:c r="F95" s="63" t="str"/>
      <x:c r="G95" s="63" t="str"/>
      <x:c r="H95" s="63" t="n">
        <x:v>0</x:v>
      </x:c>
      <x:c r="I95" s="72" t="str">
        <x:f>IF(OR(G95="",G95&lt;1,G95&gt;5),"",CHOOSE(G95,9,6,4,2,1)+2*IF(H95="",0,H95))</x:f>
      </x:c>
      <x:c r="J95" s="63" t="str"/>
    </x:row>
    <x:row r="96">
      <x:c r="A96" s="72" t="n">
        <x:v>2</x:v>
      </x:c>
      <x:c r="B96" s="72" t="str">
        <x:v>I</x:v>
      </x:c>
      <x:c r="C96" s="72" t="n">
        <x:v>2</x:v>
      </x:c>
      <x:c r="D96" s="72" t="n">
        <x:v>37</x:v>
      </x:c>
      <x:c r="E96" s="72" t="str">
        <x:f>IFERROR(IF(VLOOKUP(D96,Giocatori!$A$4:$C$73,2,FALSE)&lt;&gt;"",VLOOKUP(D96,Giocatori!$A$4:$C$73,2,FALSE),"Giocatore "&amp;D96),"Giocatore "&amp;D96)</x:f>
        <x:v>Spallone Carmine</x:v>
      </x:c>
      <x:c r="F96" s="63" t="str"/>
      <x:c r="G96" s="63" t="str"/>
      <x:c r="H96" s="63" t="n">
        <x:v>0</x:v>
      </x:c>
      <x:c r="I96" s="72" t="str">
        <x:f>IF(OR(G96="",G96&lt;1,G96&gt;5),"",CHOOSE(G96,9,6,4,2,1)+2*IF(H96="",0,H96))</x:f>
      </x:c>
      <x:c r="J96" s="63" t="str"/>
    </x:row>
    <x:row r="97">
      <x:c r="A97" s="72" t="n">
        <x:v>2</x:v>
      </x:c>
      <x:c r="B97" s="72" t="str">
        <x:v>I</x:v>
      </x:c>
      <x:c r="C97" s="72" t="n">
        <x:v>3</x:v>
      </x:c>
      <x:c r="D97" s="72" t="n">
        <x:v>33</x:v>
      </x:c>
      <x:c r="E97" s="72" t="str">
        <x:f>IFERROR(IF(VLOOKUP(D97,Giocatori!$A$4:$C$73,2,FALSE)&lt;&gt;"",VLOOKUP(D97,Giocatori!$A$4:$C$73,2,FALSE),"Giocatore "&amp;D97),"Giocatore "&amp;D97)</x:f>
        <x:v>Franzese Francesco</x:v>
      </x:c>
      <x:c r="F97" s="63" t="str"/>
      <x:c r="G97" s="63" t="str"/>
      <x:c r="H97" s="63" t="n">
        <x:v>0</x:v>
      </x:c>
      <x:c r="I97" s="72" t="str">
        <x:f>IF(OR(G97="",G97&lt;1,G97&gt;5),"",CHOOSE(G97,9,6,4,2,1)+2*IF(H97="",0,H97))</x:f>
      </x:c>
      <x:c r="J97" s="63" t="str"/>
    </x:row>
    <x:row r="98">
      <x:c r="A98" s="72" t="n">
        <x:v>2</x:v>
      </x:c>
      <x:c r="B98" s="72" t="str">
        <x:v>I</x:v>
      </x:c>
      <x:c r="C98" s="72" t="n">
        <x:v>4</x:v>
      </x:c>
      <x:c r="D98" s="72" t="n">
        <x:v>29</x:v>
      </x:c>
      <x:c r="E98" s="72" t="str">
        <x:f>IFERROR(IF(VLOOKUP(D98,Giocatori!$A$4:$C$73,2,FALSE)&lt;&gt;"",VLOOKUP(D98,Giocatori!$A$4:$C$73,2,FALSE),"Giocatore "&amp;D98),"Giocatore "&amp;D98)</x:f>
        <x:v>Nappi Nestore</x:v>
      </x:c>
      <x:c r="F98" s="63" t="str"/>
      <x:c r="G98" s="63" t="str"/>
      <x:c r="H98" s="63" t="n">
        <x:v>0</x:v>
      </x:c>
      <x:c r="I98" s="72" t="str">
        <x:f>IF(OR(G98="",G98&lt;1,G98&gt;5),"",CHOOSE(G98,9,6,4,2,1)+2*IF(H98="",0,H98))</x:f>
      </x:c>
      <x:c r="J98" s="63" t="str"/>
    </x:row>
    <x:row r="99">
      <x:c r="A99" s="72" t="n">
        <x:v>2</x:v>
      </x:c>
      <x:c r="B99" s="72" t="str">
        <x:v>I</x:v>
      </x:c>
      <x:c r="C99" s="72" t="n">
        <x:v>5</x:v>
      </x:c>
      <x:c r="D99" s="72" t="n">
        <x:v>25</x:v>
      </x:c>
      <x:c r="E99" s="72" t="str">
        <x:f>IFERROR(IF(VLOOKUP(D99,Giocatori!$A$4:$C$73,2,FALSE)&lt;&gt;"",VLOOKUP(D99,Giocatori!$A$4:$C$73,2,FALSE),"Giocatore "&amp;D99),"Giocatore "&amp;D99)</x:f>
        <x:v>Giugliano Francesco</x:v>
      </x:c>
      <x:c r="F99" s="63" t="str"/>
      <x:c r="G99" s="63" t="str"/>
      <x:c r="H99" s="63" t="n">
        <x:v>0</x:v>
      </x:c>
      <x:c r="I99" s="72" t="str">
        <x:f>IF(OR(G99="",G99&lt;1,G99&gt;5),"",CHOOSE(G99,9,6,4,2,1)+2*IF(H99="",0,H99))</x:f>
      </x:c>
      <x:c r="J99" s="63" t="str"/>
    </x:row>
    <x:row r="100">
      <x:c r="A100" s="72" t="n">
        <x:v>2</x:v>
      </x:c>
      <x:c r="B100" s="72" t="str">
        <x:v>J</x:v>
      </x:c>
      <x:c r="C100" s="72" t="n">
        <x:v>1</x:v>
      </x:c>
      <x:c r="D100" s="72" t="n">
        <x:v>46</x:v>
      </x:c>
      <x:c r="E100" s="72" t="str">
        <x:f>IFERROR(IF(VLOOKUP(D100,Giocatori!$A$4:$C$73,2,FALSE)&lt;&gt;"",VLOOKUP(D100,Giocatori!$A$4:$C$73,2,FALSE),"Giocatore "&amp;D100),"Giocatore "&amp;D100)</x:f>
        <x:v>Cafarelli Manolo</x:v>
      </x:c>
      <x:c r="F100" s="63" t="str"/>
      <x:c r="G100" s="63" t="str"/>
      <x:c r="H100" s="63" t="n">
        <x:v>0</x:v>
      </x:c>
      <x:c r="I100" s="72" t="str">
        <x:f>IF(OR(G100="",G100&lt;1,G100&gt;5),"",CHOOSE(G100,9,6,4,2,1)+2*IF(H100="",0,H100))</x:f>
      </x:c>
      <x:c r="J100" s="63" t="str"/>
    </x:row>
    <x:row r="101">
      <x:c r="A101" s="72" t="n">
        <x:v>2</x:v>
      </x:c>
      <x:c r="B101" s="72" t="str">
        <x:v>J</x:v>
      </x:c>
      <x:c r="C101" s="72" t="n">
        <x:v>2</x:v>
      </x:c>
      <x:c r="D101" s="72" t="n">
        <x:v>42</x:v>
      </x:c>
      <x:c r="E101" s="72" t="str">
        <x:f>IFERROR(IF(VLOOKUP(D101,Giocatori!$A$4:$C$73,2,FALSE)&lt;&gt;"",VLOOKUP(D101,Giocatori!$A$4:$C$73,2,FALSE),"Giocatore "&amp;D101),"Giocatore "&amp;D101)</x:f>
        <x:v>Guerriero Giuseppe</x:v>
      </x:c>
      <x:c r="F101" s="63" t="str"/>
      <x:c r="G101" s="63" t="str"/>
      <x:c r="H101" s="63" t="n">
        <x:v>0</x:v>
      </x:c>
      <x:c r="I101" s="72" t="str">
        <x:f>IF(OR(G101="",G101&lt;1,G101&gt;5),"",CHOOSE(G101,9,6,4,2,1)+2*IF(H101="",0,H101))</x:f>
      </x:c>
      <x:c r="J101" s="63" t="str"/>
    </x:row>
    <x:row r="102">
      <x:c r="A102" s="72" t="n">
        <x:v>2</x:v>
      </x:c>
      <x:c r="B102" s="72" t="str">
        <x:v>J</x:v>
      </x:c>
      <x:c r="C102" s="72" t="n">
        <x:v>3</x:v>
      </x:c>
      <x:c r="D102" s="72" t="n">
        <x:v>38</x:v>
      </x:c>
      <x:c r="E102" s="72" t="str">
        <x:f>IFERROR(IF(VLOOKUP(D102,Giocatori!$A$4:$C$73,2,FALSE)&lt;&gt;"",VLOOKUP(D102,Giocatori!$A$4:$C$73,2,FALSE),"Giocatore "&amp;D102),"Giocatore "&amp;D102)</x:f>
        <x:v>Mauro Nicola</x:v>
      </x:c>
      <x:c r="F102" s="63" t="str"/>
      <x:c r="G102" s="63" t="str"/>
      <x:c r="H102" s="63" t="n">
        <x:v>0</x:v>
      </x:c>
      <x:c r="I102" s="72" t="str">
        <x:f>IF(OR(G102="",G102&lt;1,G102&gt;5),"",CHOOSE(G102,9,6,4,2,1)+2*IF(H102="",0,H102))</x:f>
      </x:c>
      <x:c r="J102" s="63" t="str"/>
    </x:row>
    <x:row r="103">
      <x:c r="A103" s="72" t="n">
        <x:v>2</x:v>
      </x:c>
      <x:c r="B103" s="72" t="str">
        <x:v>J</x:v>
      </x:c>
      <x:c r="C103" s="72" t="n">
        <x:v>4</x:v>
      </x:c>
      <x:c r="D103" s="72" t="n">
        <x:v>34</x:v>
      </x:c>
      <x:c r="E103" s="72" t="str">
        <x:f>IFERROR(IF(VLOOKUP(D103,Giocatori!$A$4:$C$73,2,FALSE)&lt;&gt;"",VLOOKUP(D103,Giocatori!$A$4:$C$73,2,FALSE),"Giocatore "&amp;D103),"Giocatore "&amp;D103)</x:f>
        <x:v>Fontanella Giuseppe</x:v>
      </x:c>
      <x:c r="F103" s="63" t="str"/>
      <x:c r="G103" s="63" t="str"/>
      <x:c r="H103" s="63" t="n">
        <x:v>0</x:v>
      </x:c>
      <x:c r="I103" s="72" t="str">
        <x:f>IF(OR(G103="",G103&lt;1,G103&gt;5),"",CHOOSE(G103,9,6,4,2,1)+2*IF(H103="",0,H103))</x:f>
      </x:c>
      <x:c r="J103" s="63" t="str"/>
    </x:row>
    <x:row r="104">
      <x:c r="A104" s="72" t="n">
        <x:v>2</x:v>
      </x:c>
      <x:c r="B104" s="72" t="str">
        <x:v>J</x:v>
      </x:c>
      <x:c r="C104" s="72" t="n">
        <x:v>5</x:v>
      </x:c>
      <x:c r="D104" s="72" t="n">
        <x:v>30</x:v>
      </x:c>
      <x:c r="E104" s="72" t="str">
        <x:f>IFERROR(IF(VLOOKUP(D104,Giocatori!$A$4:$C$73,2,FALSE)&lt;&gt;"",VLOOKUP(D104,Giocatori!$A$4:$C$73,2,FALSE),"Giocatore "&amp;D104),"Giocatore "&amp;D104)</x:f>
        <x:v>Tufano Giuseppe</x:v>
      </x:c>
      <x:c r="F104" s="63" t="str"/>
      <x:c r="G104" s="63" t="str"/>
      <x:c r="H104" s="63" t="n">
        <x:v>0</x:v>
      </x:c>
      <x:c r="I104" s="72" t="str">
        <x:f>IF(OR(G104="",G104&lt;1,G104&gt;5),"",CHOOSE(G104,9,6,4,2,1)+2*IF(H104="",0,H104))</x:f>
      </x:c>
      <x:c r="J104" s="63" t="str"/>
    </x:row>
    <x:row r="105">
      <x:c r="A105" s="76" t="n">
        <x:v>3</x:v>
      </x:c>
      <x:c r="B105" s="76" t="str">
        <x:v>A</x:v>
      </x:c>
      <x:c r="C105" s="76" t="n">
        <x:v>1</x:v>
      </x:c>
      <x:c r="D105" s="76" t="n">
        <x:v>1</x:v>
      </x:c>
      <x:c r="E105" s="76" t="str">
        <x:f>IFERROR(IF(VLOOKUP(D105,Giocatori!$A$4:$C$73,2,FALSE)&lt;&gt;"",VLOOKUP(D105,Giocatori!$A$4:$C$73,2,FALSE),"Giocatore "&amp;D105),"Giocatore "&amp;D105)</x:f>
        <x:v>Annunziata Michele</x:v>
      </x:c>
      <x:c r="F105" s="77" t="str"/>
      <x:c r="G105" s="77" t="str"/>
      <x:c r="H105" s="77" t="n">
        <x:v>0</x:v>
      </x:c>
      <x:c r="I105" s="76" t="str">
        <x:f>IF(OR(G105="",G105&lt;1,G105&gt;5),"",CHOOSE(G105,9,6,4,2,1)+2*IF(H105="",0,H105))</x:f>
      </x:c>
      <x:c r="J105" s="77" t="str"/>
    </x:row>
    <x:row r="106">
      <x:c r="A106" s="72" t="n">
        <x:v>3</x:v>
      </x:c>
      <x:c r="B106" s="72" t="str">
        <x:v>A</x:v>
      </x:c>
      <x:c r="C106" s="72" t="n">
        <x:v>2</x:v>
      </x:c>
      <x:c r="D106" s="72" t="n">
        <x:v>42</x:v>
      </x:c>
      <x:c r="E106" s="72" t="str">
        <x:f>IFERROR(IF(VLOOKUP(D106,Giocatori!$A$4:$C$73,2,FALSE)&lt;&gt;"",VLOOKUP(D106,Giocatori!$A$4:$C$73,2,FALSE),"Giocatore "&amp;D106),"Giocatore "&amp;D106)</x:f>
        <x:v>Guerriero Giuseppe</x:v>
      </x:c>
      <x:c r="F106" s="63" t="str"/>
      <x:c r="G106" s="63" t="str"/>
      <x:c r="H106" s="63" t="n">
        <x:v>0</x:v>
      </x:c>
      <x:c r="I106" s="72" t="str">
        <x:f>IF(OR(G106="",G106&lt;1,G106&gt;5),"",CHOOSE(G106,9,6,4,2,1)+2*IF(H106="",0,H106))</x:f>
      </x:c>
      <x:c r="J106" s="63" t="str"/>
    </x:row>
    <x:row r="107">
      <x:c r="A107" s="72" t="n">
        <x:v>3</x:v>
      </x:c>
      <x:c r="B107" s="72" t="str">
        <x:v>A</x:v>
      </x:c>
      <x:c r="C107" s="72" t="n">
        <x:v>3</x:v>
      </x:c>
      <x:c r="D107" s="72" t="n">
        <x:v>33</x:v>
      </x:c>
      <x:c r="E107" s="72" t="str">
        <x:f>IFERROR(IF(VLOOKUP(D107,Giocatori!$A$4:$C$73,2,FALSE)&lt;&gt;"",VLOOKUP(D107,Giocatori!$A$4:$C$73,2,FALSE),"Giocatore "&amp;D107),"Giocatore "&amp;D107)</x:f>
        <x:v>Franzese Francesco</x:v>
      </x:c>
      <x:c r="F107" s="63" t="str"/>
      <x:c r="G107" s="63" t="str"/>
      <x:c r="H107" s="63" t="n">
        <x:v>0</x:v>
      </x:c>
      <x:c r="I107" s="72" t="str">
        <x:f>IF(OR(G107="",G107&lt;1,G107&gt;5),"",CHOOSE(G107,9,6,4,2,1)+2*IF(H107="",0,H107))</x:f>
      </x:c>
      <x:c r="J107" s="63" t="str"/>
    </x:row>
    <x:row r="108">
      <x:c r="A108" s="72" t="n">
        <x:v>3</x:v>
      </x:c>
      <x:c r="B108" s="72" t="str">
        <x:v>A</x:v>
      </x:c>
      <x:c r="C108" s="72" t="n">
        <x:v>4</x:v>
      </x:c>
      <x:c r="D108" s="72" t="n">
        <x:v>24</x:v>
      </x:c>
      <x:c r="E108" s="72" t="str">
        <x:f>IFERROR(IF(VLOOKUP(D108,Giocatori!$A$4:$C$73,2,FALSE)&lt;&gt;"",VLOOKUP(D108,Giocatori!$A$4:$C$73,2,FALSE),"Giocatore "&amp;D108),"Giocatore "&amp;D108)</x:f>
        <x:v>Pierro Giuseppe</x:v>
      </x:c>
      <x:c r="F108" s="63" t="str"/>
      <x:c r="G108" s="63" t="str"/>
      <x:c r="H108" s="63" t="n">
        <x:v>0</x:v>
      </x:c>
      <x:c r="I108" s="72" t="str">
        <x:f>IF(OR(G108="",G108&lt;1,G108&gt;5),"",CHOOSE(G108,9,6,4,2,1)+2*IF(H108="",0,H108))</x:f>
      </x:c>
      <x:c r="J108" s="63" t="str"/>
    </x:row>
    <x:row r="109">
      <x:c r="A109" s="72" t="n">
        <x:v>3</x:v>
      </x:c>
      <x:c r="B109" s="72" t="str">
        <x:v>A</x:v>
      </x:c>
      <x:c r="C109" s="72" t="n">
        <x:v>5</x:v>
      </x:c>
      <x:c r="D109" s="72" t="n">
        <x:v>15</x:v>
      </x:c>
      <x:c r="E109" s="72" t="str">
        <x:f>IFERROR(IF(VLOOKUP(D109,Giocatori!$A$4:$C$73,2,FALSE)&lt;&gt;"",VLOOKUP(D109,Giocatori!$A$4:$C$73,2,FALSE),"Giocatore "&amp;D109),"Giocatore "&amp;D109)</x:f>
        <x:v>De Falco Andrea</x:v>
      </x:c>
      <x:c r="F109" s="63" t="str"/>
      <x:c r="G109" s="63" t="str"/>
      <x:c r="H109" s="63" t="n">
        <x:v>0</x:v>
      </x:c>
      <x:c r="I109" s="72" t="str">
        <x:f>IF(OR(G109="",G109&lt;1,G109&gt;5),"",CHOOSE(G109,9,6,4,2,1)+2*IF(H109="",0,H109))</x:f>
      </x:c>
      <x:c r="J109" s="63" t="str"/>
    </x:row>
    <x:row r="110">
      <x:c r="A110" s="72" t="n">
        <x:v>3</x:v>
      </x:c>
      <x:c r="B110" s="72" t="str">
        <x:v>B</x:v>
      </x:c>
      <x:c r="C110" s="72" t="n">
        <x:v>1</x:v>
      </x:c>
      <x:c r="D110" s="72" t="n">
        <x:v>6</x:v>
      </x:c>
      <x:c r="E110" s="72" t="str">
        <x:f>IFERROR(IF(VLOOKUP(D110,Giocatori!$A$4:$C$73,2,FALSE)&lt;&gt;"",VLOOKUP(D110,Giocatori!$A$4:$C$73,2,FALSE),"Giocatore "&amp;D110),"Giocatore "&amp;D110)</x:f>
        <x:v>Panico Pasquale</x:v>
      </x:c>
      <x:c r="F110" s="63" t="str"/>
      <x:c r="G110" s="63" t="str"/>
      <x:c r="H110" s="63" t="n">
        <x:v>0</x:v>
      </x:c>
      <x:c r="I110" s="72" t="str">
        <x:f>IF(OR(G110="",G110&lt;1,G110&gt;5),"",CHOOSE(G110,9,6,4,2,1)+2*IF(H110="",0,H110))</x:f>
      </x:c>
      <x:c r="J110" s="63" t="str"/>
    </x:row>
    <x:row r="111">
      <x:c r="A111" s="72" t="n">
        <x:v>3</x:v>
      </x:c>
      <x:c r="B111" s="72" t="str">
        <x:v>B</x:v>
      </x:c>
      <x:c r="C111" s="72" t="n">
        <x:v>2</x:v>
      </x:c>
      <x:c r="D111" s="72" t="n">
        <x:v>47</x:v>
      </x:c>
      <x:c r="E111" s="72" t="str">
        <x:f>IFERROR(IF(VLOOKUP(D111,Giocatori!$A$4:$C$73,2,FALSE)&lt;&gt;"",VLOOKUP(D111,Giocatori!$A$4:$C$73,2,FALSE),"Giocatore "&amp;D111),"Giocatore "&amp;D111)</x:f>
        <x:v>Casoria Felice</x:v>
      </x:c>
      <x:c r="F111" s="63" t="str"/>
      <x:c r="G111" s="63" t="str"/>
      <x:c r="H111" s="63" t="n">
        <x:v>0</x:v>
      </x:c>
      <x:c r="I111" s="72" t="str">
        <x:f>IF(OR(G111="",G111&lt;1,G111&gt;5),"",CHOOSE(G111,9,6,4,2,1)+2*IF(H111="",0,H111))</x:f>
      </x:c>
      <x:c r="J111" s="63" t="str"/>
    </x:row>
    <x:row r="112">
      <x:c r="A112" s="72" t="n">
        <x:v>3</x:v>
      </x:c>
      <x:c r="B112" s="72" t="str">
        <x:v>B</x:v>
      </x:c>
      <x:c r="C112" s="72" t="n">
        <x:v>3</x:v>
      </x:c>
      <x:c r="D112" s="72" t="n">
        <x:v>38</x:v>
      </x:c>
      <x:c r="E112" s="72" t="str">
        <x:f>IFERROR(IF(VLOOKUP(D112,Giocatori!$A$4:$C$73,2,FALSE)&lt;&gt;"",VLOOKUP(D112,Giocatori!$A$4:$C$73,2,FALSE),"Giocatore "&amp;D112),"Giocatore "&amp;D112)</x:f>
        <x:v>Mauro Nicola</x:v>
      </x:c>
      <x:c r="F112" s="63" t="str"/>
      <x:c r="G112" s="63" t="str"/>
      <x:c r="H112" s="63" t="n">
        <x:v>0</x:v>
      </x:c>
      <x:c r="I112" s="72" t="str">
        <x:f>IF(OR(G112="",G112&lt;1,G112&gt;5),"",CHOOSE(G112,9,6,4,2,1)+2*IF(H112="",0,H112))</x:f>
      </x:c>
      <x:c r="J112" s="63" t="str"/>
    </x:row>
    <x:row r="113">
      <x:c r="A113" s="72" t="n">
        <x:v>3</x:v>
      </x:c>
      <x:c r="B113" s="72" t="str">
        <x:v>B</x:v>
      </x:c>
      <x:c r="C113" s="72" t="n">
        <x:v>4</x:v>
      </x:c>
      <x:c r="D113" s="72" t="n">
        <x:v>29</x:v>
      </x:c>
      <x:c r="E113" s="72" t="str">
        <x:f>IFERROR(IF(VLOOKUP(D113,Giocatori!$A$4:$C$73,2,FALSE)&lt;&gt;"",VLOOKUP(D113,Giocatori!$A$4:$C$73,2,FALSE),"Giocatore "&amp;D113),"Giocatore "&amp;D113)</x:f>
        <x:v>Nappi Nestore</x:v>
      </x:c>
      <x:c r="F113" s="63" t="str"/>
      <x:c r="G113" s="63" t="str"/>
      <x:c r="H113" s="63" t="n">
        <x:v>0</x:v>
      </x:c>
      <x:c r="I113" s="72" t="str">
        <x:f>IF(OR(G113="",G113&lt;1,G113&gt;5),"",CHOOSE(G113,9,6,4,2,1)+2*IF(H113="",0,H113))</x:f>
      </x:c>
      <x:c r="J113" s="63" t="str"/>
    </x:row>
    <x:row r="114">
      <x:c r="A114" s="72" t="n">
        <x:v>3</x:v>
      </x:c>
      <x:c r="B114" s="72" t="str">
        <x:v>B</x:v>
      </x:c>
      <x:c r="C114" s="72" t="n">
        <x:v>5</x:v>
      </x:c>
      <x:c r="D114" s="72" t="n">
        <x:v>20</x:v>
      </x:c>
      <x:c r="E114" s="72" t="str">
        <x:f>IFERROR(IF(VLOOKUP(D114,Giocatori!$A$4:$C$73,2,FALSE)&lt;&gt;"",VLOOKUP(D114,Giocatori!$A$4:$C$73,2,FALSE),"Giocatore "&amp;D114),"Giocatore "&amp;D114)</x:f>
        <x:v>Morelli Carmine</x:v>
      </x:c>
      <x:c r="F114" s="63" t="str"/>
      <x:c r="G114" s="63" t="str"/>
      <x:c r="H114" s="63" t="n">
        <x:v>0</x:v>
      </x:c>
      <x:c r="I114" s="72" t="str">
        <x:f>IF(OR(G114="",G114&lt;1,G114&gt;5),"",CHOOSE(G114,9,6,4,2,1)+2*IF(H114="",0,H114))</x:f>
      </x:c>
      <x:c r="J114" s="63" t="str"/>
    </x:row>
    <x:row r="115">
      <x:c r="A115" s="72" t="n">
        <x:v>3</x:v>
      </x:c>
      <x:c r="B115" s="72" t="str">
        <x:v>C</x:v>
      </x:c>
      <x:c r="C115" s="72" t="n">
        <x:v>1</x:v>
      </x:c>
      <x:c r="D115" s="72" t="n">
        <x:v>11</x:v>
      </x:c>
      <x:c r="E115" s="72" t="str">
        <x:f>IFERROR(IF(VLOOKUP(D115,Giocatori!$A$4:$C$73,2,FALSE)&lt;&gt;"",VLOOKUP(D115,Giocatori!$A$4:$C$73,2,FALSE),"Giocatore "&amp;D115),"Giocatore "&amp;D115)</x:f>
        <x:v>Notaro Giacomo</x:v>
      </x:c>
      <x:c r="F115" s="63" t="str"/>
      <x:c r="G115" s="63" t="str"/>
      <x:c r="H115" s="63" t="n">
        <x:v>0</x:v>
      </x:c>
      <x:c r="I115" s="72" t="str">
        <x:f>IF(OR(G115="",G115&lt;1,G115&gt;5),"",CHOOSE(G115,9,6,4,2,1)+2*IF(H115="",0,H115))</x:f>
      </x:c>
      <x:c r="J115" s="63" t="str"/>
    </x:row>
    <x:row r="116">
      <x:c r="A116" s="72" t="n">
        <x:v>3</x:v>
      </x:c>
      <x:c r="B116" s="72" t="str">
        <x:v>C</x:v>
      </x:c>
      <x:c r="C116" s="72" t="n">
        <x:v>2</x:v>
      </x:c>
      <x:c r="D116" s="72" t="n">
        <x:v>2</x:v>
      </x:c>
      <x:c r="E116" s="72" t="str">
        <x:f>IFERROR(IF(VLOOKUP(D116,Giocatori!$A$4:$C$73,2,FALSE)&lt;&gt;"",VLOOKUP(D116,Giocatori!$A$4:$C$73,2,FALSE),"Giocatore "&amp;D116),"Giocatore "&amp;D116)</x:f>
        <x:v>La Marca Carlo</x:v>
      </x:c>
      <x:c r="F116" s="63" t="str"/>
      <x:c r="G116" s="63" t="str"/>
      <x:c r="H116" s="63" t="n">
        <x:v>0</x:v>
      </x:c>
      <x:c r="I116" s="72" t="str">
        <x:f>IF(OR(G116="",G116&lt;1,G116&gt;5),"",CHOOSE(G116,9,6,4,2,1)+2*IF(H116="",0,H116))</x:f>
      </x:c>
      <x:c r="J116" s="63" t="str"/>
    </x:row>
    <x:row r="117">
      <x:c r="A117" s="72" t="n">
        <x:v>3</x:v>
      </x:c>
      <x:c r="B117" s="72" t="str">
        <x:v>C</x:v>
      </x:c>
      <x:c r="C117" s="72" t="n">
        <x:v>3</x:v>
      </x:c>
      <x:c r="D117" s="72" t="n">
        <x:v>43</x:v>
      </x:c>
      <x:c r="E117" s="72" t="str">
        <x:f>IFERROR(IF(VLOOKUP(D117,Giocatori!$A$4:$C$73,2,FALSE)&lt;&gt;"",VLOOKUP(D117,Giocatori!$A$4:$C$73,2,FALSE),"Giocatore "&amp;D117),"Giocatore "&amp;D117)</x:f>
        <x:v>Ruotolo Sabatino</x:v>
      </x:c>
      <x:c r="F117" s="63" t="str"/>
      <x:c r="G117" s="63" t="str"/>
      <x:c r="H117" s="63" t="n">
        <x:v>0</x:v>
      </x:c>
      <x:c r="I117" s="72" t="str">
        <x:f>IF(OR(G117="",G117&lt;1,G117&gt;5),"",CHOOSE(G117,9,6,4,2,1)+2*IF(H117="",0,H117))</x:f>
      </x:c>
      <x:c r="J117" s="63" t="str"/>
    </x:row>
    <x:row r="118">
      <x:c r="A118" s="72" t="n">
        <x:v>3</x:v>
      </x:c>
      <x:c r="B118" s="72" t="str">
        <x:v>C</x:v>
      </x:c>
      <x:c r="C118" s="72" t="n">
        <x:v>4</x:v>
      </x:c>
      <x:c r="D118" s="72" t="n">
        <x:v>34</x:v>
      </x:c>
      <x:c r="E118" s="72" t="str">
        <x:f>IFERROR(IF(VLOOKUP(D118,Giocatori!$A$4:$C$73,2,FALSE)&lt;&gt;"",VLOOKUP(D118,Giocatori!$A$4:$C$73,2,FALSE),"Giocatore "&amp;D118),"Giocatore "&amp;D118)</x:f>
        <x:v>Fontanella Giuseppe</x:v>
      </x:c>
      <x:c r="F118" s="63" t="str"/>
      <x:c r="G118" s="63" t="str"/>
      <x:c r="H118" s="63" t="n">
        <x:v>0</x:v>
      </x:c>
      <x:c r="I118" s="72" t="str">
        <x:f>IF(OR(G118="",G118&lt;1,G118&gt;5),"",CHOOSE(G118,9,6,4,2,1)+2*IF(H118="",0,H118))</x:f>
      </x:c>
      <x:c r="J118" s="63" t="str"/>
    </x:row>
    <x:row r="119">
      <x:c r="A119" s="72" t="n">
        <x:v>3</x:v>
      </x:c>
      <x:c r="B119" s="72" t="str">
        <x:v>C</x:v>
      </x:c>
      <x:c r="C119" s="72" t="n">
        <x:v>5</x:v>
      </x:c>
      <x:c r="D119" s="72" t="n">
        <x:v>25</x:v>
      </x:c>
      <x:c r="E119" s="72" t="str">
        <x:f>IFERROR(IF(VLOOKUP(D119,Giocatori!$A$4:$C$73,2,FALSE)&lt;&gt;"",VLOOKUP(D119,Giocatori!$A$4:$C$73,2,FALSE),"Giocatore "&amp;D119),"Giocatore "&amp;D119)</x:f>
        <x:v>Giugliano Francesco</x:v>
      </x:c>
      <x:c r="F119" s="63" t="str"/>
      <x:c r="G119" s="63" t="str"/>
      <x:c r="H119" s="63" t="n">
        <x:v>0</x:v>
      </x:c>
      <x:c r="I119" s="72" t="str">
        <x:f>IF(OR(G119="",G119&lt;1,G119&gt;5),"",CHOOSE(G119,9,6,4,2,1)+2*IF(H119="",0,H119))</x:f>
      </x:c>
      <x:c r="J119" s="63" t="str"/>
    </x:row>
    <x:row r="120">
      <x:c r="A120" s="72" t="n">
        <x:v>3</x:v>
      </x:c>
      <x:c r="B120" s="72" t="str">
        <x:v>D</x:v>
      </x:c>
      <x:c r="C120" s="72" t="n">
        <x:v>1</x:v>
      </x:c>
      <x:c r="D120" s="72" t="n">
        <x:v>16</x:v>
      </x:c>
      <x:c r="E120" s="72" t="str">
        <x:f>IFERROR(IF(VLOOKUP(D120,Giocatori!$A$4:$C$73,2,FALSE)&lt;&gt;"",VLOOKUP(D120,Giocatori!$A$4:$C$73,2,FALSE),"Giocatore "&amp;D120),"Giocatore "&amp;D120)</x:f>
        <x:v>Beracci Benedetto</x:v>
      </x:c>
      <x:c r="F120" s="63" t="str"/>
      <x:c r="G120" s="63" t="str"/>
      <x:c r="H120" s="63" t="n">
        <x:v>0</x:v>
      </x:c>
      <x:c r="I120" s="72" t="str">
        <x:f>IF(OR(G120="",G120&lt;1,G120&gt;5),"",CHOOSE(G120,9,6,4,2,1)+2*IF(H120="",0,H120))</x:f>
      </x:c>
      <x:c r="J120" s="63" t="str"/>
    </x:row>
    <x:row r="121">
      <x:c r="A121" s="72" t="n">
        <x:v>3</x:v>
      </x:c>
      <x:c r="B121" s="72" t="str">
        <x:v>D</x:v>
      </x:c>
      <x:c r="C121" s="72" t="n">
        <x:v>2</x:v>
      </x:c>
      <x:c r="D121" s="72" t="n">
        <x:v>7</x:v>
      </x:c>
      <x:c r="E121" s="72" t="str">
        <x:f>IFERROR(IF(VLOOKUP(D121,Giocatori!$A$4:$C$73,2,FALSE)&lt;&gt;"",VLOOKUP(D121,Giocatori!$A$4:$C$73,2,FALSE),"Giocatore "&amp;D121),"Giocatore "&amp;D121)</x:f>
        <x:v>Ambrosino Michele</x:v>
      </x:c>
      <x:c r="F121" s="63" t="str"/>
      <x:c r="G121" s="63" t="str"/>
      <x:c r="H121" s="63" t="n">
        <x:v>0</x:v>
      </x:c>
      <x:c r="I121" s="72" t="str">
        <x:f>IF(OR(G121="",G121&lt;1,G121&gt;5),"",CHOOSE(G121,9,6,4,2,1)+2*IF(H121="",0,H121))</x:f>
      </x:c>
      <x:c r="J121" s="63" t="str"/>
    </x:row>
    <x:row r="122">
      <x:c r="A122" s="72" t="n">
        <x:v>3</x:v>
      </x:c>
      <x:c r="B122" s="72" t="str">
        <x:v>D</x:v>
      </x:c>
      <x:c r="C122" s="72" t="n">
        <x:v>3</x:v>
      </x:c>
      <x:c r="D122" s="72" t="n">
        <x:v>48</x:v>
      </x:c>
      <x:c r="E122" s="72" t="str">
        <x:f>IFERROR(IF(VLOOKUP(D122,Giocatori!$A$4:$C$73,2,FALSE)&lt;&gt;"",VLOOKUP(D122,Giocatori!$A$4:$C$73,2,FALSE),"Giocatore "&amp;D122),"Giocatore "&amp;D122)</x:f>
        <x:v>Nspolitano Carlo</x:v>
      </x:c>
      <x:c r="F122" s="63" t="str"/>
      <x:c r="G122" s="63" t="str"/>
      <x:c r="H122" s="63" t="n">
        <x:v>0</x:v>
      </x:c>
      <x:c r="I122" s="72" t="str">
        <x:f>IF(OR(G122="",G122&lt;1,G122&gt;5),"",CHOOSE(G122,9,6,4,2,1)+2*IF(H122="",0,H122))</x:f>
      </x:c>
      <x:c r="J122" s="63" t="str"/>
    </x:row>
    <x:row r="123">
      <x:c r="A123" s="72" t="n">
        <x:v>3</x:v>
      </x:c>
      <x:c r="B123" s="72" t="str">
        <x:v>D</x:v>
      </x:c>
      <x:c r="C123" s="72" t="n">
        <x:v>4</x:v>
      </x:c>
      <x:c r="D123" s="72" t="n">
        <x:v>39</x:v>
      </x:c>
      <x:c r="E123" s="72" t="str">
        <x:f>IFERROR(IF(VLOOKUP(D123,Giocatori!$A$4:$C$73,2,FALSE)&lt;&gt;"",VLOOKUP(D123,Giocatori!$A$4:$C$73,2,FALSE),"Giocatore "&amp;D123),"Giocatore "&amp;D123)</x:f>
        <x:v>Ambrosino Lello</x:v>
      </x:c>
      <x:c r="F123" s="63" t="str"/>
      <x:c r="G123" s="63" t="str"/>
      <x:c r="H123" s="63" t="n">
        <x:v>0</x:v>
      </x:c>
      <x:c r="I123" s="72" t="str">
        <x:f>IF(OR(G123="",G123&lt;1,G123&gt;5),"",CHOOSE(G123,9,6,4,2,1)+2*IF(H123="",0,H123))</x:f>
      </x:c>
      <x:c r="J123" s="63" t="str"/>
    </x:row>
    <x:row r="124">
      <x:c r="A124" s="72" t="n">
        <x:v>3</x:v>
      </x:c>
      <x:c r="B124" s="72" t="str">
        <x:v>D</x:v>
      </x:c>
      <x:c r="C124" s="72" t="n">
        <x:v>5</x:v>
      </x:c>
      <x:c r="D124" s="72" t="n">
        <x:v>30</x:v>
      </x:c>
      <x:c r="E124" s="72" t="str">
        <x:f>IFERROR(IF(VLOOKUP(D124,Giocatori!$A$4:$C$73,2,FALSE)&lt;&gt;"",VLOOKUP(D124,Giocatori!$A$4:$C$73,2,FALSE),"Giocatore "&amp;D124),"Giocatore "&amp;D124)</x:f>
        <x:v>Tufano Giuseppe</x:v>
      </x:c>
      <x:c r="F124" s="63" t="str"/>
      <x:c r="G124" s="63" t="str"/>
      <x:c r="H124" s="63" t="n">
        <x:v>0</x:v>
      </x:c>
      <x:c r="I124" s="72" t="str">
        <x:f>IF(OR(G124="",G124&lt;1,G124&gt;5),"",CHOOSE(G124,9,6,4,2,1)+2*IF(H124="",0,H124))</x:f>
      </x:c>
      <x:c r="J124" s="63" t="str"/>
    </x:row>
    <x:row r="125">
      <x:c r="A125" s="72" t="n">
        <x:v>3</x:v>
      </x:c>
      <x:c r="B125" s="72" t="str">
        <x:v>E</x:v>
      </x:c>
      <x:c r="C125" s="72" t="n">
        <x:v>1</x:v>
      </x:c>
      <x:c r="D125" s="72" t="n">
        <x:v>21</x:v>
      </x:c>
      <x:c r="E125" s="72" t="str">
        <x:f>IFERROR(IF(VLOOKUP(D125,Giocatori!$A$4:$C$73,2,FALSE)&lt;&gt;"",VLOOKUP(D125,Giocatori!$A$4:$C$73,2,FALSE),"Giocatore "&amp;D125),"Giocatore "&amp;D125)</x:f>
        <x:v>Tufano Raffaele</x:v>
      </x:c>
      <x:c r="F125" s="63" t="str"/>
      <x:c r="G125" s="63" t="str"/>
      <x:c r="H125" s="63" t="n">
        <x:v>0</x:v>
      </x:c>
      <x:c r="I125" s="72" t="str">
        <x:f>IF(OR(G125="",G125&lt;1,G125&gt;5),"",CHOOSE(G125,9,6,4,2,1)+2*IF(H125="",0,H125))</x:f>
      </x:c>
      <x:c r="J125" s="63" t="str"/>
    </x:row>
    <x:row r="126">
      <x:c r="A126" s="72" t="n">
        <x:v>3</x:v>
      </x:c>
      <x:c r="B126" s="72" t="str">
        <x:v>E</x:v>
      </x:c>
      <x:c r="C126" s="72" t="n">
        <x:v>2</x:v>
      </x:c>
      <x:c r="D126" s="72" t="n">
        <x:v>12</x:v>
      </x:c>
      <x:c r="E126" s="72" t="str">
        <x:f>IFERROR(IF(VLOOKUP(D126,Giocatori!$A$4:$C$73,2,FALSE)&lt;&gt;"",VLOOKUP(D126,Giocatori!$A$4:$C$73,2,FALSE),"Giocatore "&amp;D126),"Giocatore "&amp;D126)</x:f>
        <x:v>Scognamiglio Alfredo</x:v>
      </x:c>
      <x:c r="F126" s="63" t="str"/>
      <x:c r="G126" s="63" t="str"/>
      <x:c r="H126" s="63" t="n">
        <x:v>0</x:v>
      </x:c>
      <x:c r="I126" s="72" t="str">
        <x:f>IF(OR(G126="",G126&lt;1,G126&gt;5),"",CHOOSE(G126,9,6,4,2,1)+2*IF(H126="",0,H126))</x:f>
      </x:c>
      <x:c r="J126" s="63" t="str"/>
    </x:row>
    <x:row r="127">
      <x:c r="A127" s="72" t="n">
        <x:v>3</x:v>
      </x:c>
      <x:c r="B127" s="72" t="str">
        <x:v>E</x:v>
      </x:c>
      <x:c r="C127" s="72" t="n">
        <x:v>3</x:v>
      </x:c>
      <x:c r="D127" s="72" t="n">
        <x:v>3</x:v>
      </x:c>
      <x:c r="E127" s="72" t="str">
        <x:f>IFERROR(IF(VLOOKUP(D127,Giocatori!$A$4:$C$73,2,FALSE)&lt;&gt;"",VLOOKUP(D127,Giocatori!$A$4:$C$73,2,FALSE),"Giocatore "&amp;D127),"Giocatore "&amp;D127)</x:f>
        <x:v>Sommese Antonio</x:v>
      </x:c>
      <x:c r="F127" s="63" t="str"/>
      <x:c r="G127" s="63" t="str"/>
      <x:c r="H127" s="63" t="n">
        <x:v>0</x:v>
      </x:c>
      <x:c r="I127" s="72" t="str">
        <x:f>IF(OR(G127="",G127&lt;1,G127&gt;5),"",CHOOSE(G127,9,6,4,2,1)+2*IF(H127="",0,H127))</x:f>
      </x:c>
      <x:c r="J127" s="63" t="str"/>
    </x:row>
    <x:row r="128">
      <x:c r="A128" s="72" t="n">
        <x:v>3</x:v>
      </x:c>
      <x:c r="B128" s="72" t="str">
        <x:v>E</x:v>
      </x:c>
      <x:c r="C128" s="72" t="n">
        <x:v>4</x:v>
      </x:c>
      <x:c r="D128" s="72" t="n">
        <x:v>44</x:v>
      </x:c>
      <x:c r="E128" s="72" t="str">
        <x:f>IFERROR(IF(VLOOKUP(D128,Giocatori!$A$4:$C$73,2,FALSE)&lt;&gt;"",VLOOKUP(D128,Giocatori!$A$4:$C$73,2,FALSE),"Giocatore "&amp;D128),"Giocatore "&amp;D128)</x:f>
        <x:v>Abbate Michele</x:v>
      </x:c>
      <x:c r="F128" s="63" t="str"/>
      <x:c r="G128" s="63" t="str"/>
      <x:c r="H128" s="63" t="n">
        <x:v>0</x:v>
      </x:c>
      <x:c r="I128" s="72" t="str">
        <x:f>IF(OR(G128="",G128&lt;1,G128&gt;5),"",CHOOSE(G128,9,6,4,2,1)+2*IF(H128="",0,H128))</x:f>
      </x:c>
      <x:c r="J128" s="63" t="str"/>
    </x:row>
    <x:row r="129">
      <x:c r="A129" s="72" t="n">
        <x:v>3</x:v>
      </x:c>
      <x:c r="B129" s="72" t="str">
        <x:v>E</x:v>
      </x:c>
      <x:c r="C129" s="72" t="n">
        <x:v>5</x:v>
      </x:c>
      <x:c r="D129" s="72" t="n">
        <x:v>35</x:v>
      </x:c>
      <x:c r="E129" s="72" t="str">
        <x:f>IFERROR(IF(VLOOKUP(D129,Giocatori!$A$4:$C$73,2,FALSE)&lt;&gt;"",VLOOKUP(D129,Giocatori!$A$4:$C$73,2,FALSE),"Giocatore "&amp;D129),"Giocatore "&amp;D129)</x:f>
        <x:v>Panico Giuseppe</x:v>
      </x:c>
      <x:c r="F129" s="63" t="str"/>
      <x:c r="G129" s="63" t="str"/>
      <x:c r="H129" s="63" t="n">
        <x:v>0</x:v>
      </x:c>
      <x:c r="I129" s="72" t="str">
        <x:f>IF(OR(G129="",G129&lt;1,G129&gt;5),"",CHOOSE(G129,9,6,4,2,1)+2*IF(H129="",0,H129))</x:f>
      </x:c>
      <x:c r="J129" s="63" t="str"/>
    </x:row>
    <x:row r="130">
      <x:c r="A130" s="72" t="n">
        <x:v>3</x:v>
      </x:c>
      <x:c r="B130" s="72" t="str">
        <x:v>F</x:v>
      </x:c>
      <x:c r="C130" s="72" t="n">
        <x:v>1</x:v>
      </x:c>
      <x:c r="D130" s="72" t="n">
        <x:v>26</x:v>
      </x:c>
      <x:c r="E130" s="72" t="str">
        <x:f>IFERROR(IF(VLOOKUP(D130,Giocatori!$A$4:$C$73,2,FALSE)&lt;&gt;"",VLOOKUP(D130,Giocatori!$A$4:$C$73,2,FALSE),"Giocatore "&amp;D130),"Giocatore "&amp;D130)</x:f>
        <x:v>Gesso Marco</x:v>
      </x:c>
      <x:c r="F130" s="63" t="str"/>
      <x:c r="G130" s="63" t="str"/>
      <x:c r="H130" s="63" t="n">
        <x:v>0</x:v>
      </x:c>
      <x:c r="I130" s="72" t="str">
        <x:f>IF(OR(G130="",G130&lt;1,G130&gt;5),"",CHOOSE(G130,9,6,4,2,1)+2*IF(H130="",0,H130))</x:f>
      </x:c>
      <x:c r="J130" s="63" t="str"/>
    </x:row>
    <x:row r="131">
      <x:c r="A131" s="72" t="n">
        <x:v>3</x:v>
      </x:c>
      <x:c r="B131" s="72" t="str">
        <x:v>F</x:v>
      </x:c>
      <x:c r="C131" s="72" t="n">
        <x:v>2</x:v>
      </x:c>
      <x:c r="D131" s="72" t="n">
        <x:v>17</x:v>
      </x:c>
      <x:c r="E131" s="72" t="str">
        <x:f>IFERROR(IF(VLOOKUP(D131,Giocatori!$A$4:$C$73,2,FALSE)&lt;&gt;"",VLOOKUP(D131,Giocatori!$A$4:$C$73,2,FALSE),"Giocatore "&amp;D131),"Giocatore "&amp;D131)</x:f>
        <x:v>Tufano Giovanni</x:v>
      </x:c>
      <x:c r="F131" s="63" t="str"/>
      <x:c r="G131" s="63" t="str"/>
      <x:c r="H131" s="63" t="n">
        <x:v>0</x:v>
      </x:c>
      <x:c r="I131" s="72" t="str">
        <x:f>IF(OR(G131="",G131&lt;1,G131&gt;5),"",CHOOSE(G131,9,6,4,2,1)+2*IF(H131="",0,H131))</x:f>
      </x:c>
      <x:c r="J131" s="63" t="str"/>
    </x:row>
    <x:row r="132">
      <x:c r="A132" s="72" t="n">
        <x:v>3</x:v>
      </x:c>
      <x:c r="B132" s="72" t="str">
        <x:v>F</x:v>
      </x:c>
      <x:c r="C132" s="72" t="n">
        <x:v>3</x:v>
      </x:c>
      <x:c r="D132" s="72" t="n">
        <x:v>8</x:v>
      </x:c>
      <x:c r="E132" s="72" t="str">
        <x:f>IFERROR(IF(VLOOKUP(D132,Giocatori!$A$4:$C$73,2,FALSE)&lt;&gt;"",VLOOKUP(D132,Giocatori!$A$4:$C$73,2,FALSE),"Giocatore "&amp;D132),"Giocatore "&amp;D132)</x:f>
        <x:v>Ambrosino Raffaele</x:v>
      </x:c>
      <x:c r="F132" s="63" t="str"/>
      <x:c r="G132" s="63" t="str"/>
      <x:c r="H132" s="63" t="n">
        <x:v>0</x:v>
      </x:c>
      <x:c r="I132" s="72" t="str">
        <x:f>IF(OR(G132="",G132&lt;1,G132&gt;5),"",CHOOSE(G132,9,6,4,2,1)+2*IF(H132="",0,H132))</x:f>
      </x:c>
      <x:c r="J132" s="63" t="str"/>
    </x:row>
    <x:row r="133">
      <x:c r="A133" s="72" t="n">
        <x:v>3</x:v>
      </x:c>
      <x:c r="B133" s="72" t="str">
        <x:v>F</x:v>
      </x:c>
      <x:c r="C133" s="72" t="n">
        <x:v>4</x:v>
      </x:c>
      <x:c r="D133" s="72" t="n">
        <x:v>49</x:v>
      </x:c>
      <x:c r="E133" s="72" t="str">
        <x:f>IFERROR(IF(VLOOKUP(D133,Giocatori!$A$4:$C$73,2,FALSE)&lt;&gt;"",VLOOKUP(D133,Giocatori!$A$4:$C$73,2,FALSE),"Giocatore "&amp;D133),"Giocatore "&amp;D133)</x:f>
        <x:v>Tufano Michele</x:v>
      </x:c>
      <x:c r="F133" s="63" t="str"/>
      <x:c r="G133" s="63" t="str"/>
      <x:c r="H133" s="63" t="n">
        <x:v>0</x:v>
      </x:c>
      <x:c r="I133" s="72" t="str">
        <x:f>IF(OR(G133="",G133&lt;1,G133&gt;5),"",CHOOSE(G133,9,6,4,2,1)+2*IF(H133="",0,H133))</x:f>
      </x:c>
      <x:c r="J133" s="63" t="str"/>
    </x:row>
    <x:row r="134">
      <x:c r="A134" s="72" t="n">
        <x:v>3</x:v>
      </x:c>
      <x:c r="B134" s="72" t="str">
        <x:v>F</x:v>
      </x:c>
      <x:c r="C134" s="72" t="n">
        <x:v>5</x:v>
      </x:c>
      <x:c r="D134" s="72" t="n">
        <x:v>40</x:v>
      </x:c>
      <x:c r="E134" s="72" t="str">
        <x:f>IFERROR(IF(VLOOKUP(D134,Giocatori!$A$4:$C$73,2,FALSE)&lt;&gt;"",VLOOKUP(D134,Giocatori!$A$4:$C$73,2,FALSE),"Giocatore "&amp;D134),"Giocatore "&amp;D134)</x:f>
        <x:v>Carbone Felice</x:v>
      </x:c>
      <x:c r="F134" s="63" t="str"/>
      <x:c r="G134" s="63" t="str"/>
      <x:c r="H134" s="63" t="n">
        <x:v>0</x:v>
      </x:c>
      <x:c r="I134" s="72" t="str">
        <x:f>IF(OR(G134="",G134&lt;1,G134&gt;5),"",CHOOSE(G134,9,6,4,2,1)+2*IF(H134="",0,H134))</x:f>
      </x:c>
      <x:c r="J134" s="63" t="str"/>
    </x:row>
    <x:row r="135">
      <x:c r="A135" s="72" t="n">
        <x:v>3</x:v>
      </x:c>
      <x:c r="B135" s="72" t="str">
        <x:v>G</x:v>
      </x:c>
      <x:c r="C135" s="72" t="n">
        <x:v>1</x:v>
      </x:c>
      <x:c r="D135" s="72" t="n">
        <x:v>31</x:v>
      </x:c>
      <x:c r="E135" s="72" t="str">
        <x:f>IFERROR(IF(VLOOKUP(D135,Giocatori!$A$4:$C$73,2,FALSE)&lt;&gt;"",VLOOKUP(D135,Giocatori!$A$4:$C$73,2,FALSE),"Giocatore "&amp;D135),"Giocatore "&amp;D135)</x:f>
        <x:v>Polacco Tommaso</x:v>
      </x:c>
      <x:c r="F135" s="63" t="str"/>
      <x:c r="G135" s="63" t="str"/>
      <x:c r="H135" s="63" t="n">
        <x:v>0</x:v>
      </x:c>
      <x:c r="I135" s="72" t="str">
        <x:f>IF(OR(G135="",G135&lt;1,G135&gt;5),"",CHOOSE(G135,9,6,4,2,1)+2*IF(H135="",0,H135))</x:f>
      </x:c>
      <x:c r="J135" s="63" t="str"/>
    </x:row>
    <x:row r="136">
      <x:c r="A136" s="72" t="n">
        <x:v>3</x:v>
      </x:c>
      <x:c r="B136" s="72" t="str">
        <x:v>G</x:v>
      </x:c>
      <x:c r="C136" s="72" t="n">
        <x:v>2</x:v>
      </x:c>
      <x:c r="D136" s="72" t="n">
        <x:v>22</x:v>
      </x:c>
      <x:c r="E136" s="72" t="str">
        <x:f>IFERROR(IF(VLOOKUP(D136,Giocatori!$A$4:$C$73,2,FALSE)&lt;&gt;"",VLOOKUP(D136,Giocatori!$A$4:$C$73,2,FALSE),"Giocatore "&amp;D136),"Giocatore "&amp;D136)</x:f>
        <x:v>Napolitano Antonio</x:v>
      </x:c>
      <x:c r="F136" s="63" t="str"/>
      <x:c r="G136" s="63" t="str"/>
      <x:c r="H136" s="63" t="n">
        <x:v>0</x:v>
      </x:c>
      <x:c r="I136" s="72" t="str">
        <x:f>IF(OR(G136="",G136&lt;1,G136&gt;5),"",CHOOSE(G136,9,6,4,2,1)+2*IF(H136="",0,H136))</x:f>
      </x:c>
      <x:c r="J136" s="63" t="str"/>
    </x:row>
    <x:row r="137">
      <x:c r="A137" s="72" t="n">
        <x:v>3</x:v>
      </x:c>
      <x:c r="B137" s="72" t="str">
        <x:v>G</x:v>
      </x:c>
      <x:c r="C137" s="72" t="n">
        <x:v>3</x:v>
      </x:c>
      <x:c r="D137" s="72" t="n">
        <x:v>13</x:v>
      </x:c>
      <x:c r="E137" s="72" t="str">
        <x:f>IFERROR(IF(VLOOKUP(D137,Giocatori!$A$4:$C$73,2,FALSE)&lt;&gt;"",VLOOKUP(D137,Giocatori!$A$4:$C$73,2,FALSE),"Giocatore "&amp;D137),"Giocatore "&amp;D137)</x:f>
        <x:v>Del Vecchio Diego</x:v>
      </x:c>
      <x:c r="F137" s="63" t="str"/>
      <x:c r="G137" s="63" t="str"/>
      <x:c r="H137" s="63" t="n">
        <x:v>0</x:v>
      </x:c>
      <x:c r="I137" s="72" t="str">
        <x:f>IF(OR(G137="",G137&lt;1,G137&gt;5),"",CHOOSE(G137,9,6,4,2,1)+2*IF(H137="",0,H137))</x:f>
      </x:c>
      <x:c r="J137" s="63" t="str"/>
    </x:row>
    <x:row r="138">
      <x:c r="A138" s="72" t="n">
        <x:v>3</x:v>
      </x:c>
      <x:c r="B138" s="72" t="str">
        <x:v>G</x:v>
      </x:c>
      <x:c r="C138" s="72" t="n">
        <x:v>4</x:v>
      </x:c>
      <x:c r="D138" s="72" t="n">
        <x:v>4</x:v>
      </x:c>
      <x:c r="E138" s="72" t="str">
        <x:f>IFERROR(IF(VLOOKUP(D138,Giocatori!$A$4:$C$73,2,FALSE)&lt;&gt;"",VLOOKUP(D138,Giocatori!$A$4:$C$73,2,FALSE),"Giocatore "&amp;D138),"Giocatore "&amp;D138)</x:f>
        <x:v>Annunziata Raffaele</x:v>
      </x:c>
      <x:c r="F138" s="63" t="str"/>
      <x:c r="G138" s="63" t="str"/>
      <x:c r="H138" s="63" t="n">
        <x:v>0</x:v>
      </x:c>
      <x:c r="I138" s="72" t="str">
        <x:f>IF(OR(G138="",G138&lt;1,G138&gt;5),"",CHOOSE(G138,9,6,4,2,1)+2*IF(H138="",0,H138))</x:f>
      </x:c>
      <x:c r="J138" s="63" t="str"/>
    </x:row>
    <x:row r="139">
      <x:c r="A139" s="72" t="n">
        <x:v>3</x:v>
      </x:c>
      <x:c r="B139" s="72" t="str">
        <x:v>G</x:v>
      </x:c>
      <x:c r="C139" s="72" t="n">
        <x:v>5</x:v>
      </x:c>
      <x:c r="D139" s="72" t="n">
        <x:v>45</x:v>
      </x:c>
      <x:c r="E139" s="72" t="str">
        <x:f>IFERROR(IF(VLOOKUP(D139,Giocatori!$A$4:$C$73,2,FALSE)&lt;&gt;"",VLOOKUP(D139,Giocatori!$A$4:$C$73,2,FALSE),"Giocatore "&amp;D139),"Giocatore "&amp;D139)</x:f>
        <x:v>Isernia Antonio</x:v>
      </x:c>
      <x:c r="F139" s="63" t="str"/>
      <x:c r="G139" s="63" t="str"/>
      <x:c r="H139" s="63" t="n">
        <x:v>0</x:v>
      </x:c>
      <x:c r="I139" s="72" t="str">
        <x:f>IF(OR(G139="",G139&lt;1,G139&gt;5),"",CHOOSE(G139,9,6,4,2,1)+2*IF(H139="",0,H139))</x:f>
      </x:c>
      <x:c r="J139" s="63" t="str"/>
    </x:row>
    <x:row r="140">
      <x:c r="A140" s="72" t="n">
        <x:v>3</x:v>
      </x:c>
      <x:c r="B140" s="72" t="str">
        <x:v>H</x:v>
      </x:c>
      <x:c r="C140" s="72" t="n">
        <x:v>1</x:v>
      </x:c>
      <x:c r="D140" s="72" t="n">
        <x:v>36</x:v>
      </x:c>
      <x:c r="E140" s="72" t="str">
        <x:f>IFERROR(IF(VLOOKUP(D140,Giocatori!$A$4:$C$73,2,FALSE)&lt;&gt;"",VLOOKUP(D140,Giocatori!$A$4:$C$73,2,FALSE),"Giocatore "&amp;D140),"Giocatore "&amp;D140)</x:f>
        <x:v>Moccia Biagio</x:v>
      </x:c>
      <x:c r="F140" s="63" t="str"/>
      <x:c r="G140" s="63" t="str"/>
      <x:c r="H140" s="63" t="n">
        <x:v>0</x:v>
      </x:c>
      <x:c r="I140" s="72" t="str">
        <x:f>IF(OR(G140="",G140&lt;1,G140&gt;5),"",CHOOSE(G140,9,6,4,2,1)+2*IF(H140="",0,H140))</x:f>
      </x:c>
      <x:c r="J140" s="63" t="str"/>
    </x:row>
    <x:row r="141">
      <x:c r="A141" s="72" t="n">
        <x:v>3</x:v>
      </x:c>
      <x:c r="B141" s="72" t="str">
        <x:v>H</x:v>
      </x:c>
      <x:c r="C141" s="72" t="n">
        <x:v>2</x:v>
      </x:c>
      <x:c r="D141" s="72" t="n">
        <x:v>27</x:v>
      </x:c>
      <x:c r="E141" s="72" t="str">
        <x:f>IFERROR(IF(VLOOKUP(D141,Giocatori!$A$4:$C$73,2,FALSE)&lt;&gt;"",VLOOKUP(D141,Giocatori!$A$4:$C$73,2,FALSE),"Giocatore "&amp;D141),"Giocatore "&amp;D141)</x:f>
        <x:v>Napolitano Angelo</x:v>
      </x:c>
      <x:c r="F141" s="63" t="str"/>
      <x:c r="G141" s="63" t="str"/>
      <x:c r="H141" s="63" t="n">
        <x:v>0</x:v>
      </x:c>
      <x:c r="I141" s="72" t="str">
        <x:f>IF(OR(G141="",G141&lt;1,G141&gt;5),"",CHOOSE(G141,9,6,4,2,1)+2*IF(H141="",0,H141))</x:f>
      </x:c>
      <x:c r="J141" s="63" t="str"/>
    </x:row>
    <x:row r="142">
      <x:c r="A142" s="72" t="n">
        <x:v>3</x:v>
      </x:c>
      <x:c r="B142" s="72" t="str">
        <x:v>H</x:v>
      </x:c>
      <x:c r="C142" s="72" t="n">
        <x:v>3</x:v>
      </x:c>
      <x:c r="D142" s="72" t="n">
        <x:v>18</x:v>
      </x:c>
      <x:c r="E142" s="72" t="str">
        <x:f>IFERROR(IF(VLOOKUP(D142,Giocatori!$A$4:$C$73,2,FALSE)&lt;&gt;"",VLOOKUP(D142,Giocatori!$A$4:$C$73,2,FALSE),"Giocatore "&amp;D142),"Giocatore "&amp;D142)</x:f>
        <x:v>Ambrosino Gabriele</x:v>
      </x:c>
      <x:c r="F142" s="63" t="str"/>
      <x:c r="G142" s="63" t="str"/>
      <x:c r="H142" s="63" t="n">
        <x:v>0</x:v>
      </x:c>
      <x:c r="I142" s="72" t="str">
        <x:f>IF(OR(G142="",G142&lt;1,G142&gt;5),"",CHOOSE(G142,9,6,4,2,1)+2*IF(H142="",0,H142))</x:f>
      </x:c>
      <x:c r="J142" s="63" t="str"/>
    </x:row>
    <x:row r="143">
      <x:c r="A143" s="72" t="n">
        <x:v>3</x:v>
      </x:c>
      <x:c r="B143" s="72" t="str">
        <x:v>H</x:v>
      </x:c>
      <x:c r="C143" s="72" t="n">
        <x:v>4</x:v>
      </x:c>
      <x:c r="D143" s="72" t="n">
        <x:v>9</x:v>
      </x:c>
      <x:c r="E143" s="72" t="str">
        <x:f>IFERROR(IF(VLOOKUP(D143,Giocatori!$A$4:$C$73,2,FALSE)&lt;&gt;"",VLOOKUP(D143,Giocatori!$A$4:$C$73,2,FALSE),"Giocatore "&amp;D143),"Giocatore "&amp;D143)</x:f>
        <x:v>Nappo Angelo</x:v>
      </x:c>
      <x:c r="F143" s="63" t="str"/>
      <x:c r="G143" s="63" t="str"/>
      <x:c r="H143" s="63" t="n">
        <x:v>0</x:v>
      </x:c>
      <x:c r="I143" s="72" t="str">
        <x:f>IF(OR(G143="",G143&lt;1,G143&gt;5),"",CHOOSE(G143,9,6,4,2,1)+2*IF(H143="",0,H143))</x:f>
      </x:c>
      <x:c r="J143" s="63" t="str"/>
    </x:row>
    <x:row r="144">
      <x:c r="A144" s="72" t="n">
        <x:v>3</x:v>
      </x:c>
      <x:c r="B144" s="72" t="str">
        <x:v>H</x:v>
      </x:c>
      <x:c r="C144" s="72" t="n">
        <x:v>5</x:v>
      </x:c>
      <x:c r="D144" s="72" t="n">
        <x:v>50</x:v>
      </x:c>
      <x:c r="E144" s="72" t="str">
        <x:f>IFERROR(IF(VLOOKUP(D144,Giocatori!$A$4:$C$73,2,FALSE)&lt;&gt;"",VLOOKUP(D144,Giocatori!$A$4:$C$73,2,FALSE),"Giocatore "&amp;D144),"Giocatore "&amp;D144)</x:f>
        <x:v>Bartolo</x:v>
      </x:c>
      <x:c r="F144" s="63" t="str"/>
      <x:c r="G144" s="63" t="str"/>
      <x:c r="H144" s="63" t="n">
        <x:v>0</x:v>
      </x:c>
      <x:c r="I144" s="72" t="str">
        <x:f>IF(OR(G144="",G144&lt;1,G144&gt;5),"",CHOOSE(G144,9,6,4,2,1)+2*IF(H144="",0,H144))</x:f>
      </x:c>
      <x:c r="J144" s="63" t="str"/>
    </x:row>
    <x:row r="145">
      <x:c r="A145" s="72" t="n">
        <x:v>3</x:v>
      </x:c>
      <x:c r="B145" s="72" t="str">
        <x:v>I</x:v>
      </x:c>
      <x:c r="C145" s="72" t="n">
        <x:v>1</x:v>
      </x:c>
      <x:c r="D145" s="72" t="n">
        <x:v>41</x:v>
      </x:c>
      <x:c r="E145" s="72" t="str">
        <x:f>IFERROR(IF(VLOOKUP(D145,Giocatori!$A$4:$C$73,2,FALSE)&lt;&gt;"",VLOOKUP(D145,Giocatori!$A$4:$C$73,2,FALSE),"Giocatore "&amp;D145),"Giocatore "&amp;D145)</x:f>
        <x:v>Nocerino Nunzio</x:v>
      </x:c>
      <x:c r="F145" s="63" t="str"/>
      <x:c r="G145" s="63" t="str"/>
      <x:c r="H145" s="63" t="n">
        <x:v>0</x:v>
      </x:c>
      <x:c r="I145" s="72" t="str">
        <x:f>IF(OR(G145="",G145&lt;1,G145&gt;5),"",CHOOSE(G145,9,6,4,2,1)+2*IF(H145="",0,H145))</x:f>
      </x:c>
      <x:c r="J145" s="63" t="str"/>
    </x:row>
    <x:row r="146">
      <x:c r="A146" s="72" t="n">
        <x:v>3</x:v>
      </x:c>
      <x:c r="B146" s="72" t="str">
        <x:v>I</x:v>
      </x:c>
      <x:c r="C146" s="72" t="n">
        <x:v>2</x:v>
      </x:c>
      <x:c r="D146" s="72" t="n">
        <x:v>32</x:v>
      </x:c>
      <x:c r="E146" s="72" t="str">
        <x:f>IFERROR(IF(VLOOKUP(D146,Giocatori!$A$4:$C$73,2,FALSE)&lt;&gt;"",VLOOKUP(D146,Giocatori!$A$4:$C$73,2,FALSE),"Giocatore "&amp;D146),"Giocatore "&amp;D146)</x:f>
        <x:v>Marotta Pasquale</x:v>
      </x:c>
      <x:c r="F146" s="63" t="str"/>
      <x:c r="G146" s="63" t="str"/>
      <x:c r="H146" s="63" t="n">
        <x:v>0</x:v>
      </x:c>
      <x:c r="I146" s="72" t="str">
        <x:f>IF(OR(G146="",G146&lt;1,G146&gt;5),"",CHOOSE(G146,9,6,4,2,1)+2*IF(H146="",0,H146))</x:f>
      </x:c>
      <x:c r="J146" s="63" t="str"/>
    </x:row>
    <x:row r="147">
      <x:c r="A147" s="72" t="n">
        <x:v>3</x:v>
      </x:c>
      <x:c r="B147" s="72" t="str">
        <x:v>I</x:v>
      </x:c>
      <x:c r="C147" s="72" t="n">
        <x:v>3</x:v>
      </x:c>
      <x:c r="D147" s="72" t="n">
        <x:v>23</x:v>
      </x:c>
      <x:c r="E147" s="72" t="str">
        <x:f>IFERROR(IF(VLOOKUP(D147,Giocatori!$A$4:$C$73,2,FALSE)&lt;&gt;"",VLOOKUP(D147,Giocatori!$A$4:$C$73,2,FALSE),"Giocatore "&amp;D147),"Giocatore "&amp;D147)</x:f>
        <x:v>Notaro Massimo</x:v>
      </x:c>
      <x:c r="F147" s="63" t="str"/>
      <x:c r="G147" s="63" t="str"/>
      <x:c r="H147" s="63" t="n">
        <x:v>0</x:v>
      </x:c>
      <x:c r="I147" s="72" t="str">
        <x:f>IF(OR(G147="",G147&lt;1,G147&gt;5),"",CHOOSE(G147,9,6,4,2,1)+2*IF(H147="",0,H147))</x:f>
      </x:c>
      <x:c r="J147" s="63" t="str"/>
    </x:row>
    <x:row r="148">
      <x:c r="A148" s="72" t="n">
        <x:v>3</x:v>
      </x:c>
      <x:c r="B148" s="72" t="str">
        <x:v>I</x:v>
      </x:c>
      <x:c r="C148" s="72" t="n">
        <x:v>4</x:v>
      </x:c>
      <x:c r="D148" s="72" t="n">
        <x:v>14</x:v>
      </x:c>
      <x:c r="E148" s="72" t="str">
        <x:f>IFERROR(IF(VLOOKUP(D148,Giocatori!$A$4:$C$73,2,FALSE)&lt;&gt;"",VLOOKUP(D148,Giocatori!$A$4:$C$73,2,FALSE),"Giocatore "&amp;D148),"Giocatore "&amp;D148)</x:f>
        <x:v>Beracci Lucio</x:v>
      </x:c>
      <x:c r="F148" s="63" t="str"/>
      <x:c r="G148" s="63" t="str"/>
      <x:c r="H148" s="63" t="n">
        <x:v>0</x:v>
      </x:c>
      <x:c r="I148" s="72" t="str">
        <x:f>IF(OR(G148="",G148&lt;1,G148&gt;5),"",CHOOSE(G148,9,6,4,2,1)+2*IF(H148="",0,H148))</x:f>
      </x:c>
      <x:c r="J148" s="63" t="str"/>
    </x:row>
    <x:row r="149">
      <x:c r="A149" s="72" t="n">
        <x:v>3</x:v>
      </x:c>
      <x:c r="B149" s="72" t="str">
        <x:v>I</x:v>
      </x:c>
      <x:c r="C149" s="72" t="n">
        <x:v>5</x:v>
      </x:c>
      <x:c r="D149" s="72" t="n">
        <x:v>5</x:v>
      </x:c>
      <x:c r="E149" s="72" t="str">
        <x:f>IFERROR(IF(VLOOKUP(D149,Giocatori!$A$4:$C$73,2,FALSE)&lt;&gt;"",VLOOKUP(D149,Giocatori!$A$4:$C$73,2,FALSE),"Giocatore "&amp;D149),"Giocatore "&amp;D149)</x:f>
        <x:v>La Marca Pasquale</x:v>
      </x:c>
      <x:c r="F149" s="63" t="str"/>
      <x:c r="G149" s="63" t="str"/>
      <x:c r="H149" s="63" t="n">
        <x:v>0</x:v>
      </x:c>
      <x:c r="I149" s="72" t="str">
        <x:f>IF(OR(G149="",G149&lt;1,G149&gt;5),"",CHOOSE(G149,9,6,4,2,1)+2*IF(H149="",0,H149))</x:f>
      </x:c>
      <x:c r="J149" s="63" t="str"/>
    </x:row>
    <x:row r="150">
      <x:c r="A150" s="72" t="n">
        <x:v>3</x:v>
      </x:c>
      <x:c r="B150" s="72" t="str">
        <x:v>J</x:v>
      </x:c>
      <x:c r="C150" s="72" t="n">
        <x:v>1</x:v>
      </x:c>
      <x:c r="D150" s="72" t="n">
        <x:v>46</x:v>
      </x:c>
      <x:c r="E150" s="72" t="str">
        <x:f>IFERROR(IF(VLOOKUP(D150,Giocatori!$A$4:$C$73,2,FALSE)&lt;&gt;"",VLOOKUP(D150,Giocatori!$A$4:$C$73,2,FALSE),"Giocatore "&amp;D150),"Giocatore "&amp;D150)</x:f>
        <x:v>Cafarelli Manolo</x:v>
      </x:c>
      <x:c r="F150" s="63" t="str"/>
      <x:c r="G150" s="63" t="str"/>
      <x:c r="H150" s="63" t="n">
        <x:v>0</x:v>
      </x:c>
      <x:c r="I150" s="72" t="str">
        <x:f>IF(OR(G150="",G150&lt;1,G150&gt;5),"",CHOOSE(G150,9,6,4,2,1)+2*IF(H150="",0,H150))</x:f>
      </x:c>
      <x:c r="J150" s="63" t="str"/>
    </x:row>
    <x:row r="151">
      <x:c r="A151" s="72" t="n">
        <x:v>3</x:v>
      </x:c>
      <x:c r="B151" s="72" t="str">
        <x:v>J</x:v>
      </x:c>
      <x:c r="C151" s="72" t="n">
        <x:v>2</x:v>
      </x:c>
      <x:c r="D151" s="72" t="n">
        <x:v>37</x:v>
      </x:c>
      <x:c r="E151" s="72" t="str">
        <x:f>IFERROR(IF(VLOOKUP(D151,Giocatori!$A$4:$C$73,2,FALSE)&lt;&gt;"",VLOOKUP(D151,Giocatori!$A$4:$C$73,2,FALSE),"Giocatore "&amp;D151),"Giocatore "&amp;D151)</x:f>
        <x:v>Spallone Carmine</x:v>
      </x:c>
      <x:c r="F151" s="63" t="str"/>
      <x:c r="G151" s="63" t="str"/>
      <x:c r="H151" s="63" t="n">
        <x:v>0</x:v>
      </x:c>
      <x:c r="I151" s="72" t="str">
        <x:f>IF(OR(G151="",G151&lt;1,G151&gt;5),"",CHOOSE(G151,9,6,4,2,1)+2*IF(H151="",0,H151))</x:f>
      </x:c>
      <x:c r="J151" s="63" t="str"/>
    </x:row>
    <x:row r="152">
      <x:c r="A152" s="72" t="n">
        <x:v>3</x:v>
      </x:c>
      <x:c r="B152" s="72" t="str">
        <x:v>J</x:v>
      </x:c>
      <x:c r="C152" s="72" t="n">
        <x:v>3</x:v>
      </x:c>
      <x:c r="D152" s="72" t="n">
        <x:v>28</x:v>
      </x:c>
      <x:c r="E152" s="72" t="str">
        <x:f>IFERROR(IF(VLOOKUP(D152,Giocatori!$A$4:$C$73,2,FALSE)&lt;&gt;"",VLOOKUP(D152,Giocatori!$A$4:$C$73,2,FALSE),"Giocatore "&amp;D152),"Giocatore "&amp;D152)</x:f>
        <x:v>Fontanella Carmine</x:v>
      </x:c>
      <x:c r="F152" s="63" t="str"/>
      <x:c r="G152" s="63" t="str"/>
      <x:c r="H152" s="63" t="n">
        <x:v>0</x:v>
      </x:c>
      <x:c r="I152" s="72" t="str">
        <x:f>IF(OR(G152="",G152&lt;1,G152&gt;5),"",CHOOSE(G152,9,6,4,2,1)+2*IF(H152="",0,H152))</x:f>
      </x:c>
      <x:c r="J152" s="63" t="str"/>
    </x:row>
    <x:row r="153">
      <x:c r="A153" s="72" t="n">
        <x:v>3</x:v>
      </x:c>
      <x:c r="B153" s="72" t="str">
        <x:v>J</x:v>
      </x:c>
      <x:c r="C153" s="72" t="n">
        <x:v>4</x:v>
      </x:c>
      <x:c r="D153" s="72" t="n">
        <x:v>19</x:v>
      </x:c>
      <x:c r="E153" s="72" t="str">
        <x:f>IFERROR(IF(VLOOKUP(D153,Giocatori!$A$4:$C$73,2,FALSE)&lt;&gt;"",VLOOKUP(D153,Giocatori!$A$4:$C$73,2,FALSE),"Giocatore "&amp;D153),"Giocatore "&amp;D153)</x:f>
        <x:v>Strocchia Franco</x:v>
      </x:c>
      <x:c r="F153" s="63" t="str"/>
      <x:c r="G153" s="63" t="str"/>
      <x:c r="H153" s="63" t="n">
        <x:v>0</x:v>
      </x:c>
      <x:c r="I153" s="72" t="str">
        <x:f>IF(OR(G153="",G153&lt;1,G153&gt;5),"",CHOOSE(G153,9,6,4,2,1)+2*IF(H153="",0,H153))</x:f>
      </x:c>
      <x:c r="J153" s="63" t="str"/>
    </x:row>
    <x:row r="154">
      <x:c r="A154" s="72" t="n">
        <x:v>3</x:v>
      </x:c>
      <x:c r="B154" s="72" t="str">
        <x:v>J</x:v>
      </x:c>
      <x:c r="C154" s="72" t="n">
        <x:v>5</x:v>
      </x:c>
      <x:c r="D154" s="72" t="n">
        <x:v>10</x:v>
      </x:c>
      <x:c r="E154" s="72" t="str">
        <x:f>IFERROR(IF(VLOOKUP(D154,Giocatori!$A$4:$C$73,2,FALSE)&lt;&gt;"",VLOOKUP(D154,Giocatori!$A$4:$C$73,2,FALSE),"Giocatore "&amp;D154),"Giocatore "&amp;D154)</x:f>
        <x:v>Cavallaro Erasmo</x:v>
      </x:c>
      <x:c r="F154" s="63" t="str"/>
      <x:c r="G154" s="63" t="str"/>
      <x:c r="H154" s="63" t="n">
        <x:v>0</x:v>
      </x:c>
      <x:c r="I154" s="72" t="str">
        <x:f>IF(OR(G154="",G154&lt;1,G154&gt;5),"",CHOOSE(G154,9,6,4,2,1)+2*IF(H154="",0,H154))</x:f>
      </x:c>
      <x:c r="J154" s="63" t="str"/>
    </x:row>
  </x:sheetData>
  <x:mergeCells>
    <x:mergeCell ref="A1:J1"/>
    <x:mergeCell ref="A2:J2"/>
  </x:mergeCells>
  <x:dataValidations count="3">
    <x:dataValidation type="list" sqref="G5:G154">
      <x:formula1>"1,2,3,4,5"</x:formula1>
    </x:dataValidation>
    <x:dataValidation operator="greaterThanOrEqual" sqref="H5:H154">
      <x:formula1>0</x:formula1>
    </x:dataValidation>
    <x:dataValidation operator="between" sqref="F5:F154">
      <x:formula1>0</x:formula1>
      <x:formula2>200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df52776fa5954830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10" hidden="0" customWidth="1"/>
    <x:col min="3" max="3" width="9" hidden="0" customWidth="1"/>
    <x:col min="4" max="4" width="14" hidden="0" customWidth="1"/>
    <x:col min="5" max="5" width="28" hidden="0" customWidth="1"/>
    <x:col min="6" max="6" width="16" hidden="0" customWidth="1"/>
    <x:col min="7" max="7" width="13" hidden="0" customWidth="1"/>
    <x:col min="8" max="8" width="10" hidden="0" customWidth="1"/>
    <x:col min="9" max="9" width="17" hidden="0" customWidth="1"/>
    <x:col min="10" max="10" width="30" hidden="0" customWidth="1"/>
  </x:cols>
  <x:sheetData>
    <x:row r="1" ht="30" customHeight="1">
      <x:c r="A1" s="51" t="str">
        <x:v>RISULTATI - 55 GIOCATORI</x:v>
      </x:c>
      <x:c r="B1" s="51"/>
      <x:c r="C1" s="51"/>
      <x:c r="D1" s="51"/>
      <x:c r="E1" s="51"/>
      <x:c r="F1" s="51"/>
      <x:c r="G1" s="51"/>
      <x:c r="H1" s="51"/>
      <x:c r="I1" s="51"/>
      <x:c r="J1" s="51"/>
    </x:row>
    <x:row r="2">
      <x:c r="A2" s="74" t="str">
        <x:v>Compilare esclusivamente le celle gialle. Posizione: 1 = migliore al tavolo, 5 = peggiore.</x:v>
      </x:c>
      <x:c r="B2" s="74"/>
      <x:c r="C2" s="74"/>
      <x:c r="D2" s="74"/>
      <x:c r="E2" s="74"/>
      <x:c r="F2" s="74"/>
      <x:c r="G2" s="74"/>
      <x:c r="H2" s="74"/>
      <x:c r="I2" s="74"/>
      <x:c r="J2" s="74"/>
    </x:row>
    <x:row r="4">
      <x:c r="A4" s="62" t="str">
        <x:v>Turno</x:v>
      </x:c>
      <x:c r="B4" s="62" t="str">
        <x:v>Tavolo</x:v>
      </x:c>
      <x:c r="C4" s="62" t="str">
        <x:v>Sedia</x:v>
      </x:c>
      <x:c r="D4" s="62" t="str">
        <x:v>Giocatore ID</x:v>
      </x:c>
      <x:c r="E4" s="62" t="str">
        <x:v>Nome</x:v>
      </x:c>
      <x:c r="F4" s="62" t="str">
        <x:v>Punti partita</x:v>
      </x:c>
      <x:c r="G4" s="62" t="str">
        <x:v>Posizione</x:v>
      </x:c>
      <x:c r="H4" s="62" t="str">
        <x:v>Sóle</x:v>
      </x:c>
      <x:c r="I4" s="62" t="str">
        <x:v>Punti classifica</x:v>
      </x:c>
      <x:c r="J4" s="62" t="str">
        <x:v>Note</x:v>
      </x:c>
    </x:row>
    <x:row r="5">
      <x:c r="A5" s="72" t="n">
        <x:v>1</x:v>
      </x:c>
      <x:c r="B5" s="72" t="str">
        <x:v>A</x:v>
      </x:c>
      <x:c r="C5" s="72" t="n">
        <x:v>1</x:v>
      </x:c>
      <x:c r="D5" s="72" t="n">
        <x:v>1</x:v>
      </x:c>
      <x:c r="E5" s="72" t="str">
        <x:f>IFERROR(IF(VLOOKUP(D5,Giocatori!$A$4:$C$73,2,FALSE)&lt;&gt;"",VLOOKUP(D5,Giocatori!$A$4:$C$73,2,FALSE),"Giocatore "&amp;D5),"Giocatore "&amp;D5)</x:f>
        <x:v>Annunziata Michele</x:v>
      </x:c>
      <x:c r="F5" s="63" t="str"/>
      <x:c r="G5" s="63" t="str"/>
      <x:c r="H5" s="63" t="n">
        <x:v>0</x:v>
      </x:c>
      <x:c r="I5" s="72" t="str">
        <x:f>IF(OR(G5="",G5&lt;1,G5&gt;5),"",CHOOSE(G5,9,6,4,2,1)+2*IF(H5="",0,H5))</x:f>
      </x:c>
      <x:c r="J5" s="63" t="str"/>
    </x:row>
    <x:row r="6">
      <x:c r="A6" s="72" t="n">
        <x:v>1</x:v>
      </x:c>
      <x:c r="B6" s="72" t="str">
        <x:v>A</x:v>
      </x:c>
      <x:c r="C6" s="72" t="n">
        <x:v>2</x:v>
      </x:c>
      <x:c r="D6" s="72" t="n">
        <x:v>2</x:v>
      </x:c>
      <x:c r="E6" s="72" t="str">
        <x:f>IFERROR(IF(VLOOKUP(D6,Giocatori!$A$4:$C$73,2,FALSE)&lt;&gt;"",VLOOKUP(D6,Giocatori!$A$4:$C$73,2,FALSE),"Giocatore "&amp;D6),"Giocatore "&amp;D6)</x:f>
        <x:v>La Marca Carlo</x:v>
      </x:c>
      <x:c r="F6" s="63" t="str"/>
      <x:c r="G6" s="63" t="str"/>
      <x:c r="H6" s="63" t="n">
        <x:v>0</x:v>
      </x:c>
      <x:c r="I6" s="72" t="str">
        <x:f>IF(OR(G6="",G6&lt;1,G6&gt;5),"",CHOOSE(G6,9,6,4,2,1)+2*IF(H6="",0,H6))</x:f>
      </x:c>
      <x:c r="J6" s="63" t="str"/>
    </x:row>
    <x:row r="7">
      <x:c r="A7" s="72" t="n">
        <x:v>1</x:v>
      </x:c>
      <x:c r="B7" s="72" t="str">
        <x:v>A</x:v>
      </x:c>
      <x:c r="C7" s="72" t="n">
        <x:v>3</x:v>
      </x:c>
      <x:c r="D7" s="72" t="n">
        <x:v>3</x:v>
      </x:c>
      <x:c r="E7" s="72" t="str">
        <x:f>IFERROR(IF(VLOOKUP(D7,Giocatori!$A$4:$C$73,2,FALSE)&lt;&gt;"",VLOOKUP(D7,Giocatori!$A$4:$C$73,2,FALSE),"Giocatore "&amp;D7),"Giocatore "&amp;D7)</x:f>
        <x:v>Sommese Antonio</x:v>
      </x:c>
      <x:c r="F7" s="63" t="str"/>
      <x:c r="G7" s="63" t="str"/>
      <x:c r="H7" s="63" t="n">
        <x:v>0</x:v>
      </x:c>
      <x:c r="I7" s="72" t="str">
        <x:f>IF(OR(G7="",G7&lt;1,G7&gt;5),"",CHOOSE(G7,9,6,4,2,1)+2*IF(H7="",0,H7))</x:f>
      </x:c>
      <x:c r="J7" s="63" t="str"/>
    </x:row>
    <x:row r="8">
      <x:c r="A8" s="72" t="n">
        <x:v>1</x:v>
      </x:c>
      <x:c r="B8" s="72" t="str">
        <x:v>A</x:v>
      </x:c>
      <x:c r="C8" s="72" t="n">
        <x:v>4</x:v>
      </x:c>
      <x:c r="D8" s="72" t="n">
        <x:v>4</x:v>
      </x:c>
      <x:c r="E8" s="72" t="str">
        <x:f>IFERROR(IF(VLOOKUP(D8,Giocatori!$A$4:$C$73,2,FALSE)&lt;&gt;"",VLOOKUP(D8,Giocatori!$A$4:$C$73,2,FALSE),"Giocatore "&amp;D8),"Giocatore "&amp;D8)</x:f>
        <x:v>Annunziata Raffaele</x:v>
      </x:c>
      <x:c r="F8" s="63" t="str"/>
      <x:c r="G8" s="63" t="str"/>
      <x:c r="H8" s="63" t="n">
        <x:v>0</x:v>
      </x:c>
      <x:c r="I8" s="72" t="str">
        <x:f>IF(OR(G8="",G8&lt;1,G8&gt;5),"",CHOOSE(G8,9,6,4,2,1)+2*IF(H8="",0,H8))</x:f>
      </x:c>
      <x:c r="J8" s="63" t="str"/>
    </x:row>
    <x:row r="9">
      <x:c r="A9" s="72" t="n">
        <x:v>1</x:v>
      </x:c>
      <x:c r="B9" s="72" t="str">
        <x:v>A</x:v>
      </x:c>
      <x:c r="C9" s="72" t="n">
        <x:v>5</x:v>
      </x:c>
      <x:c r="D9" s="72" t="n">
        <x:v>5</x:v>
      </x:c>
      <x:c r="E9" s="72" t="str">
        <x:f>IFERROR(IF(VLOOKUP(D9,Giocatori!$A$4:$C$73,2,FALSE)&lt;&gt;"",VLOOKUP(D9,Giocatori!$A$4:$C$73,2,FALSE),"Giocatore "&amp;D9),"Giocatore "&amp;D9)</x:f>
        <x:v>La Marca Pasquale</x:v>
      </x:c>
      <x:c r="F9" s="63" t="str"/>
      <x:c r="G9" s="63" t="str"/>
      <x:c r="H9" s="63" t="n">
        <x:v>0</x:v>
      </x:c>
      <x:c r="I9" s="72" t="str">
        <x:f>IF(OR(G9="",G9&lt;1,G9&gt;5),"",CHOOSE(G9,9,6,4,2,1)+2*IF(H9="",0,H9))</x:f>
      </x:c>
      <x:c r="J9" s="63" t="str"/>
    </x:row>
    <x:row r="10">
      <x:c r="A10" s="72" t="n">
        <x:v>1</x:v>
      </x:c>
      <x:c r="B10" s="72" t="str">
        <x:v>B</x:v>
      </x:c>
      <x:c r="C10" s="72" t="n">
        <x:v>1</x:v>
      </x:c>
      <x:c r="D10" s="72" t="n">
        <x:v>6</x:v>
      </x:c>
      <x:c r="E10" s="72" t="str">
        <x:f>IFERROR(IF(VLOOKUP(D10,Giocatori!$A$4:$C$73,2,FALSE)&lt;&gt;"",VLOOKUP(D10,Giocatori!$A$4:$C$73,2,FALSE),"Giocatore "&amp;D10),"Giocatore "&amp;D10)</x:f>
        <x:v>Panico Pasquale</x:v>
      </x:c>
      <x:c r="F10" s="63" t="str"/>
      <x:c r="G10" s="63" t="str"/>
      <x:c r="H10" s="63" t="n">
        <x:v>0</x:v>
      </x:c>
      <x:c r="I10" s="72" t="str">
        <x:f>IF(OR(G10="",G10&lt;1,G10&gt;5),"",CHOOSE(G10,9,6,4,2,1)+2*IF(H10="",0,H10))</x:f>
      </x:c>
      <x:c r="J10" s="63" t="str"/>
    </x:row>
    <x:row r="11">
      <x:c r="A11" s="72" t="n">
        <x:v>1</x:v>
      </x:c>
      <x:c r="B11" s="72" t="str">
        <x:v>B</x:v>
      </x:c>
      <x:c r="C11" s="72" t="n">
        <x:v>2</x:v>
      </x:c>
      <x:c r="D11" s="72" t="n">
        <x:v>7</x:v>
      </x:c>
      <x:c r="E11" s="72" t="str">
        <x:f>IFERROR(IF(VLOOKUP(D11,Giocatori!$A$4:$C$73,2,FALSE)&lt;&gt;"",VLOOKUP(D11,Giocatori!$A$4:$C$73,2,FALSE),"Giocatore "&amp;D11),"Giocatore "&amp;D11)</x:f>
        <x:v>Ambrosino Michele</x:v>
      </x:c>
      <x:c r="F11" s="63" t="str"/>
      <x:c r="G11" s="63" t="str"/>
      <x:c r="H11" s="63" t="n">
        <x:v>0</x:v>
      </x:c>
      <x:c r="I11" s="72" t="str">
        <x:f>IF(OR(G11="",G11&lt;1,G11&gt;5),"",CHOOSE(G11,9,6,4,2,1)+2*IF(H11="",0,H11))</x:f>
      </x:c>
      <x:c r="J11" s="63" t="str"/>
    </x:row>
    <x:row r="12">
      <x:c r="A12" s="72" t="n">
        <x:v>1</x:v>
      </x:c>
      <x:c r="B12" s="72" t="str">
        <x:v>B</x:v>
      </x:c>
      <x:c r="C12" s="72" t="n">
        <x:v>3</x:v>
      </x:c>
      <x:c r="D12" s="72" t="n">
        <x:v>8</x:v>
      </x:c>
      <x:c r="E12" s="72" t="str">
        <x:f>IFERROR(IF(VLOOKUP(D12,Giocatori!$A$4:$C$73,2,FALSE)&lt;&gt;"",VLOOKUP(D12,Giocatori!$A$4:$C$73,2,FALSE),"Giocatore "&amp;D12),"Giocatore "&amp;D12)</x:f>
        <x:v>Ambrosino Raffaele</x:v>
      </x:c>
      <x:c r="F12" s="63" t="str"/>
      <x:c r="G12" s="63" t="str"/>
      <x:c r="H12" s="63" t="n">
        <x:v>0</x:v>
      </x:c>
      <x:c r="I12" s="72" t="str">
        <x:f>IF(OR(G12="",G12&lt;1,G12&gt;5),"",CHOOSE(G12,9,6,4,2,1)+2*IF(H12="",0,H12))</x:f>
      </x:c>
      <x:c r="J12" s="63" t="str"/>
    </x:row>
    <x:row r="13">
      <x:c r="A13" s="72" t="n">
        <x:v>1</x:v>
      </x:c>
      <x:c r="B13" s="72" t="str">
        <x:v>B</x:v>
      </x:c>
      <x:c r="C13" s="72" t="n">
        <x:v>4</x:v>
      </x:c>
      <x:c r="D13" s="72" t="n">
        <x:v>9</x:v>
      </x:c>
      <x:c r="E13" s="72" t="str">
        <x:f>IFERROR(IF(VLOOKUP(D13,Giocatori!$A$4:$C$73,2,FALSE)&lt;&gt;"",VLOOKUP(D13,Giocatori!$A$4:$C$73,2,FALSE),"Giocatore "&amp;D13),"Giocatore "&amp;D13)</x:f>
        <x:v>Nappo Angelo</x:v>
      </x:c>
      <x:c r="F13" s="63" t="str"/>
      <x:c r="G13" s="63" t="str"/>
      <x:c r="H13" s="63" t="n">
        <x:v>0</x:v>
      </x:c>
      <x:c r="I13" s="72" t="str">
        <x:f>IF(OR(G13="",G13&lt;1,G13&gt;5),"",CHOOSE(G13,9,6,4,2,1)+2*IF(H13="",0,H13))</x:f>
      </x:c>
      <x:c r="J13" s="63" t="str"/>
    </x:row>
    <x:row r="14">
      <x:c r="A14" s="72" t="n">
        <x:v>1</x:v>
      </x:c>
      <x:c r="B14" s="72" t="str">
        <x:v>B</x:v>
      </x:c>
      <x:c r="C14" s="72" t="n">
        <x:v>5</x:v>
      </x:c>
      <x:c r="D14" s="72" t="n">
        <x:v>10</x:v>
      </x:c>
      <x:c r="E14" s="72" t="str">
        <x:f>IFERROR(IF(VLOOKUP(D14,Giocatori!$A$4:$C$73,2,FALSE)&lt;&gt;"",VLOOKUP(D14,Giocatori!$A$4:$C$73,2,FALSE),"Giocatore "&amp;D14),"Giocatore "&amp;D14)</x:f>
        <x:v>Cavallaro Erasmo</x:v>
      </x:c>
      <x:c r="F14" s="63" t="str"/>
      <x:c r="G14" s="63" t="str"/>
      <x:c r="H14" s="63" t="n">
        <x:v>0</x:v>
      </x:c>
      <x:c r="I14" s="72" t="str">
        <x:f>IF(OR(G14="",G14&lt;1,G14&gt;5),"",CHOOSE(G14,9,6,4,2,1)+2*IF(H14="",0,H14))</x:f>
      </x:c>
      <x:c r="J14" s="63" t="str"/>
    </x:row>
    <x:row r="15">
      <x:c r="A15" s="72" t="n">
        <x:v>1</x:v>
      </x:c>
      <x:c r="B15" s="72" t="str">
        <x:v>C</x:v>
      </x:c>
      <x:c r="C15" s="72" t="n">
        <x:v>1</x:v>
      </x:c>
      <x:c r="D15" s="72" t="n">
        <x:v>11</x:v>
      </x:c>
      <x:c r="E15" s="72" t="str">
        <x:f>IFERROR(IF(VLOOKUP(D15,Giocatori!$A$4:$C$73,2,FALSE)&lt;&gt;"",VLOOKUP(D15,Giocatori!$A$4:$C$73,2,FALSE),"Giocatore "&amp;D15),"Giocatore "&amp;D15)</x:f>
        <x:v>Notaro Giacomo</x:v>
      </x:c>
      <x:c r="F15" s="63" t="str"/>
      <x:c r="G15" s="63" t="str"/>
      <x:c r="H15" s="63" t="n">
        <x:v>0</x:v>
      </x:c>
      <x:c r="I15" s="72" t="str">
        <x:f>IF(OR(G15="",G15&lt;1,G15&gt;5),"",CHOOSE(G15,9,6,4,2,1)+2*IF(H15="",0,H15))</x:f>
      </x:c>
      <x:c r="J15" s="63" t="str"/>
    </x:row>
    <x:row r="16">
      <x:c r="A16" s="72" t="n">
        <x:v>1</x:v>
      </x:c>
      <x:c r="B16" s="72" t="str">
        <x:v>C</x:v>
      </x:c>
      <x:c r="C16" s="72" t="n">
        <x:v>2</x:v>
      </x:c>
      <x:c r="D16" s="72" t="n">
        <x:v>12</x:v>
      </x:c>
      <x:c r="E16" s="72" t="str">
        <x:f>IFERROR(IF(VLOOKUP(D16,Giocatori!$A$4:$C$73,2,FALSE)&lt;&gt;"",VLOOKUP(D16,Giocatori!$A$4:$C$73,2,FALSE),"Giocatore "&amp;D16),"Giocatore "&amp;D16)</x:f>
        <x:v>Scognamiglio Alfredo</x:v>
      </x:c>
      <x:c r="F16" s="63" t="str"/>
      <x:c r="G16" s="63" t="str"/>
      <x:c r="H16" s="63" t="n">
        <x:v>0</x:v>
      </x:c>
      <x:c r="I16" s="72" t="str">
        <x:f>IF(OR(G16="",G16&lt;1,G16&gt;5),"",CHOOSE(G16,9,6,4,2,1)+2*IF(H16="",0,H16))</x:f>
      </x:c>
      <x:c r="J16" s="63" t="str"/>
    </x:row>
    <x:row r="17">
      <x:c r="A17" s="72" t="n">
        <x:v>1</x:v>
      </x:c>
      <x:c r="B17" s="72" t="str">
        <x:v>C</x:v>
      </x:c>
      <x:c r="C17" s="72" t="n">
        <x:v>3</x:v>
      </x:c>
      <x:c r="D17" s="72" t="n">
        <x:v>13</x:v>
      </x:c>
      <x:c r="E17" s="72" t="str">
        <x:f>IFERROR(IF(VLOOKUP(D17,Giocatori!$A$4:$C$73,2,FALSE)&lt;&gt;"",VLOOKUP(D17,Giocatori!$A$4:$C$73,2,FALSE),"Giocatore "&amp;D17),"Giocatore "&amp;D17)</x:f>
        <x:v>Del Vecchio Diego</x:v>
      </x:c>
      <x:c r="F17" s="63" t="str"/>
      <x:c r="G17" s="63" t="str"/>
      <x:c r="H17" s="63" t="n">
        <x:v>0</x:v>
      </x:c>
      <x:c r="I17" s="72" t="str">
        <x:f>IF(OR(G17="",G17&lt;1,G17&gt;5),"",CHOOSE(G17,9,6,4,2,1)+2*IF(H17="",0,H17))</x:f>
      </x:c>
      <x:c r="J17" s="63" t="str"/>
    </x:row>
    <x:row r="18">
      <x:c r="A18" s="72" t="n">
        <x:v>1</x:v>
      </x:c>
      <x:c r="B18" s="72" t="str">
        <x:v>C</x:v>
      </x:c>
      <x:c r="C18" s="72" t="n">
        <x:v>4</x:v>
      </x:c>
      <x:c r="D18" s="72" t="n">
        <x:v>14</x:v>
      </x:c>
      <x:c r="E18" s="72" t="str">
        <x:f>IFERROR(IF(VLOOKUP(D18,Giocatori!$A$4:$C$73,2,FALSE)&lt;&gt;"",VLOOKUP(D18,Giocatori!$A$4:$C$73,2,FALSE),"Giocatore "&amp;D18),"Giocatore "&amp;D18)</x:f>
        <x:v>Beracci Lucio</x:v>
      </x:c>
      <x:c r="F18" s="63" t="str"/>
      <x:c r="G18" s="63" t="str"/>
      <x:c r="H18" s="63" t="n">
        <x:v>0</x:v>
      </x:c>
      <x:c r="I18" s="72" t="str">
        <x:f>IF(OR(G18="",G18&lt;1,G18&gt;5),"",CHOOSE(G18,9,6,4,2,1)+2*IF(H18="",0,H18))</x:f>
      </x:c>
      <x:c r="J18" s="63" t="str"/>
    </x:row>
    <x:row r="19">
      <x:c r="A19" s="72" t="n">
        <x:v>1</x:v>
      </x:c>
      <x:c r="B19" s="72" t="str">
        <x:v>C</x:v>
      </x:c>
      <x:c r="C19" s="72" t="n">
        <x:v>5</x:v>
      </x:c>
      <x:c r="D19" s="72" t="n">
        <x:v>15</x:v>
      </x:c>
      <x:c r="E19" s="72" t="str">
        <x:f>IFERROR(IF(VLOOKUP(D19,Giocatori!$A$4:$C$73,2,FALSE)&lt;&gt;"",VLOOKUP(D19,Giocatori!$A$4:$C$73,2,FALSE),"Giocatore "&amp;D19),"Giocatore "&amp;D19)</x:f>
        <x:v>De Falco Andrea</x:v>
      </x:c>
      <x:c r="F19" s="63" t="str"/>
      <x:c r="G19" s="63" t="str"/>
      <x:c r="H19" s="63" t="n">
        <x:v>0</x:v>
      </x:c>
      <x:c r="I19" s="72" t="str">
        <x:f>IF(OR(G19="",G19&lt;1,G19&gt;5),"",CHOOSE(G19,9,6,4,2,1)+2*IF(H19="",0,H19))</x:f>
      </x:c>
      <x:c r="J19" s="63" t="str"/>
    </x:row>
    <x:row r="20">
      <x:c r="A20" s="72" t="n">
        <x:v>1</x:v>
      </x:c>
      <x:c r="B20" s="72" t="str">
        <x:v>D</x:v>
      </x:c>
      <x:c r="C20" s="72" t="n">
        <x:v>1</x:v>
      </x:c>
      <x:c r="D20" s="72" t="n">
        <x:v>16</x:v>
      </x:c>
      <x:c r="E20" s="72" t="str">
        <x:f>IFERROR(IF(VLOOKUP(D20,Giocatori!$A$4:$C$73,2,FALSE)&lt;&gt;"",VLOOKUP(D20,Giocatori!$A$4:$C$73,2,FALSE),"Giocatore "&amp;D20),"Giocatore "&amp;D20)</x:f>
        <x:v>Beracci Benedetto</x:v>
      </x:c>
      <x:c r="F20" s="63" t="str"/>
      <x:c r="G20" s="63" t="str"/>
      <x:c r="H20" s="63" t="n">
        <x:v>0</x:v>
      </x:c>
      <x:c r="I20" s="72" t="str">
        <x:f>IF(OR(G20="",G20&lt;1,G20&gt;5),"",CHOOSE(G20,9,6,4,2,1)+2*IF(H20="",0,H20))</x:f>
      </x:c>
      <x:c r="J20" s="63" t="str"/>
    </x:row>
    <x:row r="21">
      <x:c r="A21" s="72" t="n">
        <x:v>1</x:v>
      </x:c>
      <x:c r="B21" s="72" t="str">
        <x:v>D</x:v>
      </x:c>
      <x:c r="C21" s="72" t="n">
        <x:v>2</x:v>
      </x:c>
      <x:c r="D21" s="72" t="n">
        <x:v>17</x:v>
      </x:c>
      <x:c r="E21" s="72" t="str">
        <x:f>IFERROR(IF(VLOOKUP(D21,Giocatori!$A$4:$C$73,2,FALSE)&lt;&gt;"",VLOOKUP(D21,Giocatori!$A$4:$C$73,2,FALSE),"Giocatore "&amp;D21),"Giocatore "&amp;D21)</x:f>
        <x:v>Tufano Giovanni</x:v>
      </x:c>
      <x:c r="F21" s="63" t="str"/>
      <x:c r="G21" s="63" t="str"/>
      <x:c r="H21" s="63" t="n">
        <x:v>0</x:v>
      </x:c>
      <x:c r="I21" s="72" t="str">
        <x:f>IF(OR(G21="",G21&lt;1,G21&gt;5),"",CHOOSE(G21,9,6,4,2,1)+2*IF(H21="",0,H21))</x:f>
      </x:c>
      <x:c r="J21" s="63" t="str"/>
    </x:row>
    <x:row r="22">
      <x:c r="A22" s="72" t="n">
        <x:v>1</x:v>
      </x:c>
      <x:c r="B22" s="72" t="str">
        <x:v>D</x:v>
      </x:c>
      <x:c r="C22" s="72" t="n">
        <x:v>3</x:v>
      </x:c>
      <x:c r="D22" s="72" t="n">
        <x:v>18</x:v>
      </x:c>
      <x:c r="E22" s="72" t="str">
        <x:f>IFERROR(IF(VLOOKUP(D22,Giocatori!$A$4:$C$73,2,FALSE)&lt;&gt;"",VLOOKUP(D22,Giocatori!$A$4:$C$73,2,FALSE),"Giocatore "&amp;D22),"Giocatore "&amp;D22)</x:f>
        <x:v>Ambrosino Gabriele</x:v>
      </x:c>
      <x:c r="F22" s="63" t="str"/>
      <x:c r="G22" s="63" t="str"/>
      <x:c r="H22" s="63" t="n">
        <x:v>0</x:v>
      </x:c>
      <x:c r="I22" s="72" t="str">
        <x:f>IF(OR(G22="",G22&lt;1,G22&gt;5),"",CHOOSE(G22,9,6,4,2,1)+2*IF(H22="",0,H22))</x:f>
      </x:c>
      <x:c r="J22" s="63" t="str"/>
    </x:row>
    <x:row r="23">
      <x:c r="A23" s="72" t="n">
        <x:v>1</x:v>
      </x:c>
      <x:c r="B23" s="72" t="str">
        <x:v>D</x:v>
      </x:c>
      <x:c r="C23" s="72" t="n">
        <x:v>4</x:v>
      </x:c>
      <x:c r="D23" s="72" t="n">
        <x:v>19</x:v>
      </x:c>
      <x:c r="E23" s="72" t="str">
        <x:f>IFERROR(IF(VLOOKUP(D23,Giocatori!$A$4:$C$73,2,FALSE)&lt;&gt;"",VLOOKUP(D23,Giocatori!$A$4:$C$73,2,FALSE),"Giocatore "&amp;D23),"Giocatore "&amp;D23)</x:f>
        <x:v>Strocchia Franco</x:v>
      </x:c>
      <x:c r="F23" s="63" t="str"/>
      <x:c r="G23" s="63" t="str"/>
      <x:c r="H23" s="63" t="n">
        <x:v>0</x:v>
      </x:c>
      <x:c r="I23" s="72" t="str">
        <x:f>IF(OR(G23="",G23&lt;1,G23&gt;5),"",CHOOSE(G23,9,6,4,2,1)+2*IF(H23="",0,H23))</x:f>
      </x:c>
      <x:c r="J23" s="63" t="str"/>
    </x:row>
    <x:row r="24">
      <x:c r="A24" s="72" t="n">
        <x:v>1</x:v>
      </x:c>
      <x:c r="B24" s="72" t="str">
        <x:v>D</x:v>
      </x:c>
      <x:c r="C24" s="72" t="n">
        <x:v>5</x:v>
      </x:c>
      <x:c r="D24" s="72" t="n">
        <x:v>20</x:v>
      </x:c>
      <x:c r="E24" s="72" t="str">
        <x:f>IFERROR(IF(VLOOKUP(D24,Giocatori!$A$4:$C$73,2,FALSE)&lt;&gt;"",VLOOKUP(D24,Giocatori!$A$4:$C$73,2,FALSE),"Giocatore "&amp;D24),"Giocatore "&amp;D24)</x:f>
        <x:v>Morelli Carmine</x:v>
      </x:c>
      <x:c r="F24" s="63" t="str"/>
      <x:c r="G24" s="63" t="str"/>
      <x:c r="H24" s="63" t="n">
        <x:v>0</x:v>
      </x:c>
      <x:c r="I24" s="72" t="str">
        <x:f>IF(OR(G24="",G24&lt;1,G24&gt;5),"",CHOOSE(G24,9,6,4,2,1)+2*IF(H24="",0,H24))</x:f>
      </x:c>
      <x:c r="J24" s="63" t="str"/>
    </x:row>
    <x:row r="25">
      <x:c r="A25" s="72" t="n">
        <x:v>1</x:v>
      </x:c>
      <x:c r="B25" s="72" t="str">
        <x:v>E</x:v>
      </x:c>
      <x:c r="C25" s="72" t="n">
        <x:v>1</x:v>
      </x:c>
      <x:c r="D25" s="72" t="n">
        <x:v>21</x:v>
      </x:c>
      <x:c r="E25" s="72" t="str">
        <x:f>IFERROR(IF(VLOOKUP(D25,Giocatori!$A$4:$C$73,2,FALSE)&lt;&gt;"",VLOOKUP(D25,Giocatori!$A$4:$C$73,2,FALSE),"Giocatore "&amp;D25),"Giocatore "&amp;D25)</x:f>
        <x:v>Tufano Raffaele</x:v>
      </x:c>
      <x:c r="F25" s="63" t="str"/>
      <x:c r="G25" s="63" t="str"/>
      <x:c r="H25" s="63" t="n">
        <x:v>0</x:v>
      </x:c>
      <x:c r="I25" s="72" t="str">
        <x:f>IF(OR(G25="",G25&lt;1,G25&gt;5),"",CHOOSE(G25,9,6,4,2,1)+2*IF(H25="",0,H25))</x:f>
      </x:c>
      <x:c r="J25" s="63" t="str"/>
    </x:row>
    <x:row r="26">
      <x:c r="A26" s="72" t="n">
        <x:v>1</x:v>
      </x:c>
      <x:c r="B26" s="72" t="str">
        <x:v>E</x:v>
      </x:c>
      <x:c r="C26" s="72" t="n">
        <x:v>2</x:v>
      </x:c>
      <x:c r="D26" s="72" t="n">
        <x:v>22</x:v>
      </x:c>
      <x:c r="E26" s="72" t="str">
        <x:f>IFERROR(IF(VLOOKUP(D26,Giocatori!$A$4:$C$73,2,FALSE)&lt;&gt;"",VLOOKUP(D26,Giocatori!$A$4:$C$73,2,FALSE),"Giocatore "&amp;D26),"Giocatore "&amp;D26)</x:f>
        <x:v>Napolitano Antonio</x:v>
      </x:c>
      <x:c r="F26" s="63" t="str"/>
      <x:c r="G26" s="63" t="str"/>
      <x:c r="H26" s="63" t="n">
        <x:v>0</x:v>
      </x:c>
      <x:c r="I26" s="72" t="str">
        <x:f>IF(OR(G26="",G26&lt;1,G26&gt;5),"",CHOOSE(G26,9,6,4,2,1)+2*IF(H26="",0,H26))</x:f>
      </x:c>
      <x:c r="J26" s="63" t="str"/>
    </x:row>
    <x:row r="27">
      <x:c r="A27" s="72" t="n">
        <x:v>1</x:v>
      </x:c>
      <x:c r="B27" s="72" t="str">
        <x:v>E</x:v>
      </x:c>
      <x:c r="C27" s="72" t="n">
        <x:v>3</x:v>
      </x:c>
      <x:c r="D27" s="72" t="n">
        <x:v>23</x:v>
      </x:c>
      <x:c r="E27" s="72" t="str">
        <x:f>IFERROR(IF(VLOOKUP(D27,Giocatori!$A$4:$C$73,2,FALSE)&lt;&gt;"",VLOOKUP(D27,Giocatori!$A$4:$C$73,2,FALSE),"Giocatore "&amp;D27),"Giocatore "&amp;D27)</x:f>
        <x:v>Notaro Massimo</x:v>
      </x:c>
      <x:c r="F27" s="63" t="str"/>
      <x:c r="G27" s="63" t="str"/>
      <x:c r="H27" s="63" t="n">
        <x:v>0</x:v>
      </x:c>
      <x:c r="I27" s="72" t="str">
        <x:f>IF(OR(G27="",G27&lt;1,G27&gt;5),"",CHOOSE(G27,9,6,4,2,1)+2*IF(H27="",0,H27))</x:f>
      </x:c>
      <x:c r="J27" s="63" t="str"/>
    </x:row>
    <x:row r="28">
      <x:c r="A28" s="72" t="n">
        <x:v>1</x:v>
      </x:c>
      <x:c r="B28" s="72" t="str">
        <x:v>E</x:v>
      </x:c>
      <x:c r="C28" s="72" t="n">
        <x:v>4</x:v>
      </x:c>
      <x:c r="D28" s="72" t="n">
        <x:v>24</x:v>
      </x:c>
      <x:c r="E28" s="72" t="str">
        <x:f>IFERROR(IF(VLOOKUP(D28,Giocatori!$A$4:$C$73,2,FALSE)&lt;&gt;"",VLOOKUP(D28,Giocatori!$A$4:$C$73,2,FALSE),"Giocatore "&amp;D28),"Giocatore "&amp;D28)</x:f>
        <x:v>Pierro Giuseppe</x:v>
      </x:c>
      <x:c r="F28" s="63" t="str"/>
      <x:c r="G28" s="63" t="str"/>
      <x:c r="H28" s="63" t="n">
        <x:v>0</x:v>
      </x:c>
      <x:c r="I28" s="72" t="str">
        <x:f>IF(OR(G28="",G28&lt;1,G28&gt;5),"",CHOOSE(G28,9,6,4,2,1)+2*IF(H28="",0,H28))</x:f>
      </x:c>
      <x:c r="J28" s="63" t="str"/>
    </x:row>
    <x:row r="29">
      <x:c r="A29" s="72" t="n">
        <x:v>1</x:v>
      </x:c>
      <x:c r="B29" s="72" t="str">
        <x:v>E</x:v>
      </x:c>
      <x:c r="C29" s="72" t="n">
        <x:v>5</x:v>
      </x:c>
      <x:c r="D29" s="72" t="n">
        <x:v>25</x:v>
      </x:c>
      <x:c r="E29" s="72" t="str">
        <x:f>IFERROR(IF(VLOOKUP(D29,Giocatori!$A$4:$C$73,2,FALSE)&lt;&gt;"",VLOOKUP(D29,Giocatori!$A$4:$C$73,2,FALSE),"Giocatore "&amp;D29),"Giocatore "&amp;D29)</x:f>
        <x:v>Giugliano Francesco</x:v>
      </x:c>
      <x:c r="F29" s="63" t="str"/>
      <x:c r="G29" s="63" t="str"/>
      <x:c r="H29" s="63" t="n">
        <x:v>0</x:v>
      </x:c>
      <x:c r="I29" s="72" t="str">
        <x:f>IF(OR(G29="",G29&lt;1,G29&gt;5),"",CHOOSE(G29,9,6,4,2,1)+2*IF(H29="",0,H29))</x:f>
      </x:c>
      <x:c r="J29" s="63" t="str"/>
    </x:row>
    <x:row r="30">
      <x:c r="A30" s="72" t="n">
        <x:v>1</x:v>
      </x:c>
      <x:c r="B30" s="72" t="str">
        <x:v>F</x:v>
      </x:c>
      <x:c r="C30" s="72" t="n">
        <x:v>1</x:v>
      </x:c>
      <x:c r="D30" s="72" t="n">
        <x:v>26</x:v>
      </x:c>
      <x:c r="E30" s="72" t="str">
        <x:f>IFERROR(IF(VLOOKUP(D30,Giocatori!$A$4:$C$73,2,FALSE)&lt;&gt;"",VLOOKUP(D30,Giocatori!$A$4:$C$73,2,FALSE),"Giocatore "&amp;D30),"Giocatore "&amp;D30)</x:f>
        <x:v>Gesso Marco</x:v>
      </x:c>
      <x:c r="F30" s="63" t="str"/>
      <x:c r="G30" s="63" t="str"/>
      <x:c r="H30" s="63" t="n">
        <x:v>0</x:v>
      </x:c>
      <x:c r="I30" s="72" t="str">
        <x:f>IF(OR(G30="",G30&lt;1,G30&gt;5),"",CHOOSE(G30,9,6,4,2,1)+2*IF(H30="",0,H30))</x:f>
      </x:c>
      <x:c r="J30" s="63" t="str"/>
    </x:row>
    <x:row r="31">
      <x:c r="A31" s="72" t="n">
        <x:v>1</x:v>
      </x:c>
      <x:c r="B31" s="72" t="str">
        <x:v>F</x:v>
      </x:c>
      <x:c r="C31" s="72" t="n">
        <x:v>2</x:v>
      </x:c>
      <x:c r="D31" s="72" t="n">
        <x:v>27</x:v>
      </x:c>
      <x:c r="E31" s="72" t="str">
        <x:f>IFERROR(IF(VLOOKUP(D31,Giocatori!$A$4:$C$73,2,FALSE)&lt;&gt;"",VLOOKUP(D31,Giocatori!$A$4:$C$73,2,FALSE),"Giocatore "&amp;D31),"Giocatore "&amp;D31)</x:f>
        <x:v>Napolitano Angelo</x:v>
      </x:c>
      <x:c r="F31" s="63" t="str"/>
      <x:c r="G31" s="63" t="str"/>
      <x:c r="H31" s="63" t="n">
        <x:v>0</x:v>
      </x:c>
      <x:c r="I31" s="72" t="str">
        <x:f>IF(OR(G31="",G31&lt;1,G31&gt;5),"",CHOOSE(G31,9,6,4,2,1)+2*IF(H31="",0,H31))</x:f>
      </x:c>
      <x:c r="J31" s="63" t="str"/>
    </x:row>
    <x:row r="32">
      <x:c r="A32" s="72" t="n">
        <x:v>1</x:v>
      </x:c>
      <x:c r="B32" s="72" t="str">
        <x:v>F</x:v>
      </x:c>
      <x:c r="C32" s="72" t="n">
        <x:v>3</x:v>
      </x:c>
      <x:c r="D32" s="72" t="n">
        <x:v>28</x:v>
      </x:c>
      <x:c r="E32" s="72" t="str">
        <x:f>IFERROR(IF(VLOOKUP(D32,Giocatori!$A$4:$C$73,2,FALSE)&lt;&gt;"",VLOOKUP(D32,Giocatori!$A$4:$C$73,2,FALSE),"Giocatore "&amp;D32),"Giocatore "&amp;D32)</x:f>
        <x:v>Fontanella Carmine</x:v>
      </x:c>
      <x:c r="F32" s="63" t="str"/>
      <x:c r="G32" s="63" t="str"/>
      <x:c r="H32" s="63" t="n">
        <x:v>0</x:v>
      </x:c>
      <x:c r="I32" s="72" t="str">
        <x:f>IF(OR(G32="",G32&lt;1,G32&gt;5),"",CHOOSE(G32,9,6,4,2,1)+2*IF(H32="",0,H32))</x:f>
      </x:c>
      <x:c r="J32" s="63" t="str"/>
    </x:row>
    <x:row r="33">
      <x:c r="A33" s="72" t="n">
        <x:v>1</x:v>
      </x:c>
      <x:c r="B33" s="72" t="str">
        <x:v>F</x:v>
      </x:c>
      <x:c r="C33" s="72" t="n">
        <x:v>4</x:v>
      </x:c>
      <x:c r="D33" s="72" t="n">
        <x:v>29</x:v>
      </x:c>
      <x:c r="E33" s="72" t="str">
        <x:f>IFERROR(IF(VLOOKUP(D33,Giocatori!$A$4:$C$73,2,FALSE)&lt;&gt;"",VLOOKUP(D33,Giocatori!$A$4:$C$73,2,FALSE),"Giocatore "&amp;D33),"Giocatore "&amp;D33)</x:f>
        <x:v>Nappi Nestore</x:v>
      </x:c>
      <x:c r="F33" s="63" t="str"/>
      <x:c r="G33" s="63" t="str"/>
      <x:c r="H33" s="63" t="n">
        <x:v>0</x:v>
      </x:c>
      <x:c r="I33" s="72" t="str">
        <x:f>IF(OR(G33="",G33&lt;1,G33&gt;5),"",CHOOSE(G33,9,6,4,2,1)+2*IF(H33="",0,H33))</x:f>
      </x:c>
      <x:c r="J33" s="63" t="str"/>
    </x:row>
    <x:row r="34">
      <x:c r="A34" s="72" t="n">
        <x:v>1</x:v>
      </x:c>
      <x:c r="B34" s="72" t="str">
        <x:v>F</x:v>
      </x:c>
      <x:c r="C34" s="72" t="n">
        <x:v>5</x:v>
      </x:c>
      <x:c r="D34" s="72" t="n">
        <x:v>30</x:v>
      </x:c>
      <x:c r="E34" s="72" t="str">
        <x:f>IFERROR(IF(VLOOKUP(D34,Giocatori!$A$4:$C$73,2,FALSE)&lt;&gt;"",VLOOKUP(D34,Giocatori!$A$4:$C$73,2,FALSE),"Giocatore "&amp;D34),"Giocatore "&amp;D34)</x:f>
        <x:v>Tufano Giuseppe</x:v>
      </x:c>
      <x:c r="F34" s="63" t="str"/>
      <x:c r="G34" s="63" t="str"/>
      <x:c r="H34" s="63" t="n">
        <x:v>0</x:v>
      </x:c>
      <x:c r="I34" s="72" t="str">
        <x:f>IF(OR(G34="",G34&lt;1,G34&gt;5),"",CHOOSE(G34,9,6,4,2,1)+2*IF(H34="",0,H34))</x:f>
      </x:c>
      <x:c r="J34" s="63" t="str"/>
    </x:row>
    <x:row r="35">
      <x:c r="A35" s="72" t="n">
        <x:v>1</x:v>
      </x:c>
      <x:c r="B35" s="72" t="str">
        <x:v>G</x:v>
      </x:c>
      <x:c r="C35" s="72" t="n">
        <x:v>1</x:v>
      </x:c>
      <x:c r="D35" s="72" t="n">
        <x:v>31</x:v>
      </x:c>
      <x:c r="E35" s="72" t="str">
        <x:f>IFERROR(IF(VLOOKUP(D35,Giocatori!$A$4:$C$73,2,FALSE)&lt;&gt;"",VLOOKUP(D35,Giocatori!$A$4:$C$73,2,FALSE),"Giocatore "&amp;D35),"Giocatore "&amp;D35)</x:f>
        <x:v>Polacco Tommaso</x:v>
      </x:c>
      <x:c r="F35" s="63" t="str"/>
      <x:c r="G35" s="63" t="str"/>
      <x:c r="H35" s="63" t="n">
        <x:v>0</x:v>
      </x:c>
      <x:c r="I35" s="72" t="str">
        <x:f>IF(OR(G35="",G35&lt;1,G35&gt;5),"",CHOOSE(G35,9,6,4,2,1)+2*IF(H35="",0,H35))</x:f>
      </x:c>
      <x:c r="J35" s="63" t="str"/>
    </x:row>
    <x:row r="36">
      <x:c r="A36" s="72" t="n">
        <x:v>1</x:v>
      </x:c>
      <x:c r="B36" s="72" t="str">
        <x:v>G</x:v>
      </x:c>
      <x:c r="C36" s="72" t="n">
        <x:v>2</x:v>
      </x:c>
      <x:c r="D36" s="72" t="n">
        <x:v>32</x:v>
      </x:c>
      <x:c r="E36" s="72" t="str">
        <x:f>IFERROR(IF(VLOOKUP(D36,Giocatori!$A$4:$C$73,2,FALSE)&lt;&gt;"",VLOOKUP(D36,Giocatori!$A$4:$C$73,2,FALSE),"Giocatore "&amp;D36),"Giocatore "&amp;D36)</x:f>
        <x:v>Marotta Pasquale</x:v>
      </x:c>
      <x:c r="F36" s="63" t="str"/>
      <x:c r="G36" s="63" t="str"/>
      <x:c r="H36" s="63" t="n">
        <x:v>0</x:v>
      </x:c>
      <x:c r="I36" s="72" t="str">
        <x:f>IF(OR(G36="",G36&lt;1,G36&gt;5),"",CHOOSE(G36,9,6,4,2,1)+2*IF(H36="",0,H36))</x:f>
      </x:c>
      <x:c r="J36" s="63" t="str"/>
    </x:row>
    <x:row r="37">
      <x:c r="A37" s="72" t="n">
        <x:v>1</x:v>
      </x:c>
      <x:c r="B37" s="72" t="str">
        <x:v>G</x:v>
      </x:c>
      <x:c r="C37" s="72" t="n">
        <x:v>3</x:v>
      </x:c>
      <x:c r="D37" s="72" t="n">
        <x:v>33</x:v>
      </x:c>
      <x:c r="E37" s="72" t="str">
        <x:f>IFERROR(IF(VLOOKUP(D37,Giocatori!$A$4:$C$73,2,FALSE)&lt;&gt;"",VLOOKUP(D37,Giocatori!$A$4:$C$73,2,FALSE),"Giocatore "&amp;D37),"Giocatore "&amp;D37)</x:f>
        <x:v>Franzese Francesco</x:v>
      </x:c>
      <x:c r="F37" s="63" t="str"/>
      <x:c r="G37" s="63" t="str"/>
      <x:c r="H37" s="63" t="n">
        <x:v>0</x:v>
      </x:c>
      <x:c r="I37" s="72" t="str">
        <x:f>IF(OR(G37="",G37&lt;1,G37&gt;5),"",CHOOSE(G37,9,6,4,2,1)+2*IF(H37="",0,H37))</x:f>
      </x:c>
      <x:c r="J37" s="63" t="str"/>
    </x:row>
    <x:row r="38">
      <x:c r="A38" s="72" t="n">
        <x:v>1</x:v>
      </x:c>
      <x:c r="B38" s="72" t="str">
        <x:v>G</x:v>
      </x:c>
      <x:c r="C38" s="72" t="n">
        <x:v>4</x:v>
      </x:c>
      <x:c r="D38" s="72" t="n">
        <x:v>34</x:v>
      </x:c>
      <x:c r="E38" s="72" t="str">
        <x:f>IFERROR(IF(VLOOKUP(D38,Giocatori!$A$4:$C$73,2,FALSE)&lt;&gt;"",VLOOKUP(D38,Giocatori!$A$4:$C$73,2,FALSE),"Giocatore "&amp;D38),"Giocatore "&amp;D38)</x:f>
        <x:v>Fontanella Giuseppe</x:v>
      </x:c>
      <x:c r="F38" s="63" t="str"/>
      <x:c r="G38" s="63" t="str"/>
      <x:c r="H38" s="63" t="n">
        <x:v>0</x:v>
      </x:c>
      <x:c r="I38" s="72" t="str">
        <x:f>IF(OR(G38="",G38&lt;1,G38&gt;5),"",CHOOSE(G38,9,6,4,2,1)+2*IF(H38="",0,H38))</x:f>
      </x:c>
      <x:c r="J38" s="63" t="str"/>
    </x:row>
    <x:row r="39">
      <x:c r="A39" s="72" t="n">
        <x:v>1</x:v>
      </x:c>
      <x:c r="B39" s="72" t="str">
        <x:v>G</x:v>
      </x:c>
      <x:c r="C39" s="72" t="n">
        <x:v>5</x:v>
      </x:c>
      <x:c r="D39" s="72" t="n">
        <x:v>35</x:v>
      </x:c>
      <x:c r="E39" s="72" t="str">
        <x:f>IFERROR(IF(VLOOKUP(D39,Giocatori!$A$4:$C$73,2,FALSE)&lt;&gt;"",VLOOKUP(D39,Giocatori!$A$4:$C$73,2,FALSE),"Giocatore "&amp;D39),"Giocatore "&amp;D39)</x:f>
        <x:v>Panico Giuseppe</x:v>
      </x:c>
      <x:c r="F39" s="63" t="str"/>
      <x:c r="G39" s="63" t="str"/>
      <x:c r="H39" s="63" t="n">
        <x:v>0</x:v>
      </x:c>
      <x:c r="I39" s="72" t="str">
        <x:f>IF(OR(G39="",G39&lt;1,G39&gt;5),"",CHOOSE(G39,9,6,4,2,1)+2*IF(H39="",0,H39))</x:f>
      </x:c>
      <x:c r="J39" s="63" t="str"/>
    </x:row>
    <x:row r="40">
      <x:c r="A40" s="72" t="n">
        <x:v>1</x:v>
      </x:c>
      <x:c r="B40" s="72" t="str">
        <x:v>H</x:v>
      </x:c>
      <x:c r="C40" s="72" t="n">
        <x:v>1</x:v>
      </x:c>
      <x:c r="D40" s="72" t="n">
        <x:v>36</x:v>
      </x:c>
      <x:c r="E40" s="72" t="str">
        <x:f>IFERROR(IF(VLOOKUP(D40,Giocatori!$A$4:$C$73,2,FALSE)&lt;&gt;"",VLOOKUP(D40,Giocatori!$A$4:$C$73,2,FALSE),"Giocatore "&amp;D40),"Giocatore "&amp;D40)</x:f>
        <x:v>Moccia Biagio</x:v>
      </x:c>
      <x:c r="F40" s="63" t="str"/>
      <x:c r="G40" s="63" t="str"/>
      <x:c r="H40" s="63" t="n">
        <x:v>0</x:v>
      </x:c>
      <x:c r="I40" s="72" t="str">
        <x:f>IF(OR(G40="",G40&lt;1,G40&gt;5),"",CHOOSE(G40,9,6,4,2,1)+2*IF(H40="",0,H40))</x:f>
      </x:c>
      <x:c r="J40" s="63" t="str"/>
    </x:row>
    <x:row r="41">
      <x:c r="A41" s="72" t="n">
        <x:v>1</x:v>
      </x:c>
      <x:c r="B41" s="72" t="str">
        <x:v>H</x:v>
      </x:c>
      <x:c r="C41" s="72" t="n">
        <x:v>2</x:v>
      </x:c>
      <x:c r="D41" s="72" t="n">
        <x:v>37</x:v>
      </x:c>
      <x:c r="E41" s="72" t="str">
        <x:f>IFERROR(IF(VLOOKUP(D41,Giocatori!$A$4:$C$73,2,FALSE)&lt;&gt;"",VLOOKUP(D41,Giocatori!$A$4:$C$73,2,FALSE),"Giocatore "&amp;D41),"Giocatore "&amp;D41)</x:f>
        <x:v>Spallone Carmine</x:v>
      </x:c>
      <x:c r="F41" s="63" t="str"/>
      <x:c r="G41" s="63" t="str"/>
      <x:c r="H41" s="63" t="n">
        <x:v>0</x:v>
      </x:c>
      <x:c r="I41" s="72" t="str">
        <x:f>IF(OR(G41="",G41&lt;1,G41&gt;5),"",CHOOSE(G41,9,6,4,2,1)+2*IF(H41="",0,H41))</x:f>
      </x:c>
      <x:c r="J41" s="63" t="str"/>
    </x:row>
    <x:row r="42">
      <x:c r="A42" s="72" t="n">
        <x:v>1</x:v>
      </x:c>
      <x:c r="B42" s="72" t="str">
        <x:v>H</x:v>
      </x:c>
      <x:c r="C42" s="72" t="n">
        <x:v>3</x:v>
      </x:c>
      <x:c r="D42" s="72" t="n">
        <x:v>38</x:v>
      </x:c>
      <x:c r="E42" s="72" t="str">
        <x:f>IFERROR(IF(VLOOKUP(D42,Giocatori!$A$4:$C$73,2,FALSE)&lt;&gt;"",VLOOKUP(D42,Giocatori!$A$4:$C$73,2,FALSE),"Giocatore "&amp;D42),"Giocatore "&amp;D42)</x:f>
        <x:v>Mauro Nicola</x:v>
      </x:c>
      <x:c r="F42" s="63" t="str"/>
      <x:c r="G42" s="63" t="str"/>
      <x:c r="H42" s="63" t="n">
        <x:v>0</x:v>
      </x:c>
      <x:c r="I42" s="72" t="str">
        <x:f>IF(OR(G42="",G42&lt;1,G42&gt;5),"",CHOOSE(G42,9,6,4,2,1)+2*IF(H42="",0,H42))</x:f>
      </x:c>
      <x:c r="J42" s="63" t="str"/>
    </x:row>
    <x:row r="43">
      <x:c r="A43" s="72" t="n">
        <x:v>1</x:v>
      </x:c>
      <x:c r="B43" s="72" t="str">
        <x:v>H</x:v>
      </x:c>
      <x:c r="C43" s="72" t="n">
        <x:v>4</x:v>
      </x:c>
      <x:c r="D43" s="72" t="n">
        <x:v>39</x:v>
      </x:c>
      <x:c r="E43" s="72" t="str">
        <x:f>IFERROR(IF(VLOOKUP(D43,Giocatori!$A$4:$C$73,2,FALSE)&lt;&gt;"",VLOOKUP(D43,Giocatori!$A$4:$C$73,2,FALSE),"Giocatore "&amp;D43),"Giocatore "&amp;D43)</x:f>
        <x:v>Ambrosino Lello</x:v>
      </x:c>
      <x:c r="F43" s="63" t="str"/>
      <x:c r="G43" s="63" t="str"/>
      <x:c r="H43" s="63" t="n">
        <x:v>0</x:v>
      </x:c>
      <x:c r="I43" s="72" t="str">
        <x:f>IF(OR(G43="",G43&lt;1,G43&gt;5),"",CHOOSE(G43,9,6,4,2,1)+2*IF(H43="",0,H43))</x:f>
      </x:c>
      <x:c r="J43" s="63" t="str"/>
    </x:row>
    <x:row r="44">
      <x:c r="A44" s="72" t="n">
        <x:v>1</x:v>
      </x:c>
      <x:c r="B44" s="72" t="str">
        <x:v>H</x:v>
      </x:c>
      <x:c r="C44" s="72" t="n">
        <x:v>5</x:v>
      </x:c>
      <x:c r="D44" s="72" t="n">
        <x:v>40</x:v>
      </x:c>
      <x:c r="E44" s="72" t="str">
        <x:f>IFERROR(IF(VLOOKUP(D44,Giocatori!$A$4:$C$73,2,FALSE)&lt;&gt;"",VLOOKUP(D44,Giocatori!$A$4:$C$73,2,FALSE),"Giocatore "&amp;D44),"Giocatore "&amp;D44)</x:f>
        <x:v>Carbone Felice</x:v>
      </x:c>
      <x:c r="F44" s="63" t="str"/>
      <x:c r="G44" s="63" t="str"/>
      <x:c r="H44" s="63" t="n">
        <x:v>0</x:v>
      </x:c>
      <x:c r="I44" s="72" t="str">
        <x:f>IF(OR(G44="",G44&lt;1,G44&gt;5),"",CHOOSE(G44,9,6,4,2,1)+2*IF(H44="",0,H44))</x:f>
      </x:c>
      <x:c r="J44" s="63" t="str"/>
    </x:row>
    <x:row r="45">
      <x:c r="A45" s="72" t="n">
        <x:v>1</x:v>
      </x:c>
      <x:c r="B45" s="72" t="str">
        <x:v>I</x:v>
      </x:c>
      <x:c r="C45" s="72" t="n">
        <x:v>1</x:v>
      </x:c>
      <x:c r="D45" s="72" t="n">
        <x:v>41</x:v>
      </x:c>
      <x:c r="E45" s="72" t="str">
        <x:f>IFERROR(IF(VLOOKUP(D45,Giocatori!$A$4:$C$73,2,FALSE)&lt;&gt;"",VLOOKUP(D45,Giocatori!$A$4:$C$73,2,FALSE),"Giocatore "&amp;D45),"Giocatore "&amp;D45)</x:f>
        <x:v>Nocerino Nunzio</x:v>
      </x:c>
      <x:c r="F45" s="63" t="str"/>
      <x:c r="G45" s="63" t="str"/>
      <x:c r="H45" s="63" t="n">
        <x:v>0</x:v>
      </x:c>
      <x:c r="I45" s="72" t="str">
        <x:f>IF(OR(G45="",G45&lt;1,G45&gt;5),"",CHOOSE(G45,9,6,4,2,1)+2*IF(H45="",0,H45))</x:f>
      </x:c>
      <x:c r="J45" s="63" t="str"/>
    </x:row>
    <x:row r="46">
      <x:c r="A46" s="72" t="n">
        <x:v>1</x:v>
      </x:c>
      <x:c r="B46" s="72" t="str">
        <x:v>I</x:v>
      </x:c>
      <x:c r="C46" s="72" t="n">
        <x:v>2</x:v>
      </x:c>
      <x:c r="D46" s="72" t="n">
        <x:v>42</x:v>
      </x:c>
      <x:c r="E46" s="72" t="str">
        <x:f>IFERROR(IF(VLOOKUP(D46,Giocatori!$A$4:$C$73,2,FALSE)&lt;&gt;"",VLOOKUP(D46,Giocatori!$A$4:$C$73,2,FALSE),"Giocatore "&amp;D46),"Giocatore "&amp;D46)</x:f>
        <x:v>Guerriero Giuseppe</x:v>
      </x:c>
      <x:c r="F46" s="63" t="str"/>
      <x:c r="G46" s="63" t="str"/>
      <x:c r="H46" s="63" t="n">
        <x:v>0</x:v>
      </x:c>
      <x:c r="I46" s="72" t="str">
        <x:f>IF(OR(G46="",G46&lt;1,G46&gt;5),"",CHOOSE(G46,9,6,4,2,1)+2*IF(H46="",0,H46))</x:f>
      </x:c>
      <x:c r="J46" s="63" t="str"/>
    </x:row>
    <x:row r="47">
      <x:c r="A47" s="72" t="n">
        <x:v>1</x:v>
      </x:c>
      <x:c r="B47" s="72" t="str">
        <x:v>I</x:v>
      </x:c>
      <x:c r="C47" s="72" t="n">
        <x:v>3</x:v>
      </x:c>
      <x:c r="D47" s="72" t="n">
        <x:v>43</x:v>
      </x:c>
      <x:c r="E47" s="72" t="str">
        <x:f>IFERROR(IF(VLOOKUP(D47,Giocatori!$A$4:$C$73,2,FALSE)&lt;&gt;"",VLOOKUP(D47,Giocatori!$A$4:$C$73,2,FALSE),"Giocatore "&amp;D47),"Giocatore "&amp;D47)</x:f>
        <x:v>Ruotolo Sabatino</x:v>
      </x:c>
      <x:c r="F47" s="63" t="str"/>
      <x:c r="G47" s="63" t="str"/>
      <x:c r="H47" s="63" t="n">
        <x:v>0</x:v>
      </x:c>
      <x:c r="I47" s="72" t="str">
        <x:f>IF(OR(G47="",G47&lt;1,G47&gt;5),"",CHOOSE(G47,9,6,4,2,1)+2*IF(H47="",0,H47))</x:f>
      </x:c>
      <x:c r="J47" s="63" t="str"/>
    </x:row>
    <x:row r="48">
      <x:c r="A48" s="72" t="n">
        <x:v>1</x:v>
      </x:c>
      <x:c r="B48" s="72" t="str">
        <x:v>I</x:v>
      </x:c>
      <x:c r="C48" s="72" t="n">
        <x:v>4</x:v>
      </x:c>
      <x:c r="D48" s="72" t="n">
        <x:v>44</x:v>
      </x:c>
      <x:c r="E48" s="72" t="str">
        <x:f>IFERROR(IF(VLOOKUP(D48,Giocatori!$A$4:$C$73,2,FALSE)&lt;&gt;"",VLOOKUP(D48,Giocatori!$A$4:$C$73,2,FALSE),"Giocatore "&amp;D48),"Giocatore "&amp;D48)</x:f>
        <x:v>Abbate Michele</x:v>
      </x:c>
      <x:c r="F48" s="63" t="str"/>
      <x:c r="G48" s="63" t="str"/>
      <x:c r="H48" s="63" t="n">
        <x:v>0</x:v>
      </x:c>
      <x:c r="I48" s="72" t="str">
        <x:f>IF(OR(G48="",G48&lt;1,G48&gt;5),"",CHOOSE(G48,9,6,4,2,1)+2*IF(H48="",0,H48))</x:f>
      </x:c>
      <x:c r="J48" s="63" t="str"/>
    </x:row>
    <x:row r="49">
      <x:c r="A49" s="72" t="n">
        <x:v>1</x:v>
      </x:c>
      <x:c r="B49" s="72" t="str">
        <x:v>I</x:v>
      </x:c>
      <x:c r="C49" s="72" t="n">
        <x:v>5</x:v>
      </x:c>
      <x:c r="D49" s="72" t="n">
        <x:v>45</x:v>
      </x:c>
      <x:c r="E49" s="72" t="str">
        <x:f>IFERROR(IF(VLOOKUP(D49,Giocatori!$A$4:$C$73,2,FALSE)&lt;&gt;"",VLOOKUP(D49,Giocatori!$A$4:$C$73,2,FALSE),"Giocatore "&amp;D49),"Giocatore "&amp;D49)</x:f>
        <x:v>Isernia Antonio</x:v>
      </x:c>
      <x:c r="F49" s="63" t="str"/>
      <x:c r="G49" s="63" t="str"/>
      <x:c r="H49" s="63" t="n">
        <x:v>0</x:v>
      </x:c>
      <x:c r="I49" s="72" t="str">
        <x:f>IF(OR(G49="",G49&lt;1,G49&gt;5),"",CHOOSE(G49,9,6,4,2,1)+2*IF(H49="",0,H49))</x:f>
      </x:c>
      <x:c r="J49" s="63" t="str"/>
    </x:row>
    <x:row r="50">
      <x:c r="A50" s="72" t="n">
        <x:v>1</x:v>
      </x:c>
      <x:c r="B50" s="72" t="str">
        <x:v>J</x:v>
      </x:c>
      <x:c r="C50" s="72" t="n">
        <x:v>1</x:v>
      </x:c>
      <x:c r="D50" s="72" t="n">
        <x:v>46</x:v>
      </x:c>
      <x:c r="E50" s="72" t="str">
        <x:f>IFERROR(IF(VLOOKUP(D50,Giocatori!$A$4:$C$73,2,FALSE)&lt;&gt;"",VLOOKUP(D50,Giocatori!$A$4:$C$73,2,FALSE),"Giocatore "&amp;D50),"Giocatore "&amp;D50)</x:f>
        <x:v>Cafarelli Manolo</x:v>
      </x:c>
      <x:c r="F50" s="63" t="str"/>
      <x:c r="G50" s="63" t="str"/>
      <x:c r="H50" s="63" t="n">
        <x:v>0</x:v>
      </x:c>
      <x:c r="I50" s="72" t="str">
        <x:f>IF(OR(G50="",G50&lt;1,G50&gt;5),"",CHOOSE(G50,9,6,4,2,1)+2*IF(H50="",0,H50))</x:f>
      </x:c>
      <x:c r="J50" s="63" t="str"/>
    </x:row>
    <x:row r="51">
      <x:c r="A51" s="72" t="n">
        <x:v>1</x:v>
      </x:c>
      <x:c r="B51" s="72" t="str">
        <x:v>J</x:v>
      </x:c>
      <x:c r="C51" s="72" t="n">
        <x:v>2</x:v>
      </x:c>
      <x:c r="D51" s="72" t="n">
        <x:v>47</x:v>
      </x:c>
      <x:c r="E51" s="72" t="str">
        <x:f>IFERROR(IF(VLOOKUP(D51,Giocatori!$A$4:$C$73,2,FALSE)&lt;&gt;"",VLOOKUP(D51,Giocatori!$A$4:$C$73,2,FALSE),"Giocatore "&amp;D51),"Giocatore "&amp;D51)</x:f>
        <x:v>Casoria Felice</x:v>
      </x:c>
      <x:c r="F51" s="63" t="str"/>
      <x:c r="G51" s="63" t="str"/>
      <x:c r="H51" s="63" t="n">
        <x:v>0</x:v>
      </x:c>
      <x:c r="I51" s="72" t="str">
        <x:f>IF(OR(G51="",G51&lt;1,G51&gt;5),"",CHOOSE(G51,9,6,4,2,1)+2*IF(H51="",0,H51))</x:f>
      </x:c>
      <x:c r="J51" s="63" t="str"/>
    </x:row>
    <x:row r="52">
      <x:c r="A52" s="72" t="n">
        <x:v>1</x:v>
      </x:c>
      <x:c r="B52" s="72" t="str">
        <x:v>J</x:v>
      </x:c>
      <x:c r="C52" s="72" t="n">
        <x:v>3</x:v>
      </x:c>
      <x:c r="D52" s="72" t="n">
        <x:v>48</x:v>
      </x:c>
      <x:c r="E52" s="72" t="str">
        <x:f>IFERROR(IF(VLOOKUP(D52,Giocatori!$A$4:$C$73,2,FALSE)&lt;&gt;"",VLOOKUP(D52,Giocatori!$A$4:$C$73,2,FALSE),"Giocatore "&amp;D52),"Giocatore "&amp;D52)</x:f>
        <x:v>Nspolitano Carlo</x:v>
      </x:c>
      <x:c r="F52" s="63" t="str"/>
      <x:c r="G52" s="63" t="str"/>
      <x:c r="H52" s="63" t="n">
        <x:v>0</x:v>
      </x:c>
      <x:c r="I52" s="72" t="str">
        <x:f>IF(OR(G52="",G52&lt;1,G52&gt;5),"",CHOOSE(G52,9,6,4,2,1)+2*IF(H52="",0,H52))</x:f>
      </x:c>
      <x:c r="J52" s="63" t="str"/>
    </x:row>
    <x:row r="53">
      <x:c r="A53" s="72" t="n">
        <x:v>1</x:v>
      </x:c>
      <x:c r="B53" s="72" t="str">
        <x:v>J</x:v>
      </x:c>
      <x:c r="C53" s="72" t="n">
        <x:v>4</x:v>
      </x:c>
      <x:c r="D53" s="72" t="n">
        <x:v>49</x:v>
      </x:c>
      <x:c r="E53" s="72" t="str">
        <x:f>IFERROR(IF(VLOOKUP(D53,Giocatori!$A$4:$C$73,2,FALSE)&lt;&gt;"",VLOOKUP(D53,Giocatori!$A$4:$C$73,2,FALSE),"Giocatore "&amp;D53),"Giocatore "&amp;D53)</x:f>
        <x:v>Tufano Michele</x:v>
      </x:c>
      <x:c r="F53" s="63" t="str"/>
      <x:c r="G53" s="63" t="str"/>
      <x:c r="H53" s="63" t="n">
        <x:v>0</x:v>
      </x:c>
      <x:c r="I53" s="72" t="str">
        <x:f>IF(OR(G53="",G53&lt;1,G53&gt;5),"",CHOOSE(G53,9,6,4,2,1)+2*IF(H53="",0,H53))</x:f>
      </x:c>
      <x:c r="J53" s="63" t="str"/>
    </x:row>
    <x:row r="54">
      <x:c r="A54" s="72" t="n">
        <x:v>1</x:v>
      </x:c>
      <x:c r="B54" s="72" t="str">
        <x:v>J</x:v>
      </x:c>
      <x:c r="C54" s="72" t="n">
        <x:v>5</x:v>
      </x:c>
      <x:c r="D54" s="72" t="n">
        <x:v>50</x:v>
      </x:c>
      <x:c r="E54" s="72" t="str">
        <x:f>IFERROR(IF(VLOOKUP(D54,Giocatori!$A$4:$C$73,2,FALSE)&lt;&gt;"",VLOOKUP(D54,Giocatori!$A$4:$C$73,2,FALSE),"Giocatore "&amp;D54),"Giocatore "&amp;D54)</x:f>
        <x:v>Bartolo</x:v>
      </x:c>
      <x:c r="F54" s="63" t="str"/>
      <x:c r="G54" s="63" t="str"/>
      <x:c r="H54" s="63" t="n">
        <x:v>0</x:v>
      </x:c>
      <x:c r="I54" s="72" t="str">
        <x:f>IF(OR(G54="",G54&lt;1,G54&gt;5),"",CHOOSE(G54,9,6,4,2,1)+2*IF(H54="",0,H54))</x:f>
      </x:c>
      <x:c r="J54" s="63" t="str"/>
    </x:row>
    <x:row r="55">
      <x:c r="A55" s="72" t="n">
        <x:v>1</x:v>
      </x:c>
      <x:c r="B55" s="72" t="str">
        <x:v>K</x:v>
      </x:c>
      <x:c r="C55" s="72" t="n">
        <x:v>1</x:v>
      </x:c>
      <x:c r="D55" s="72" t="n">
        <x:v>51</x:v>
      </x:c>
      <x:c r="E55" s="72" t="str">
        <x:f>IFERROR(IF(VLOOKUP(D55,Giocatori!$A$4:$C$73,2,FALSE)&lt;&gt;"",VLOOKUP(D55,Giocatori!$A$4:$C$73,2,FALSE),"Giocatore "&amp;D55),"Giocatore "&amp;D55)</x:f>
        <x:v>Domenico</x:v>
      </x:c>
      <x:c r="F55" s="63" t="str"/>
      <x:c r="G55" s="63" t="str"/>
      <x:c r="H55" s="63" t="n">
        <x:v>0</x:v>
      </x:c>
      <x:c r="I55" s="72" t="str">
        <x:f>IF(OR(G55="",G55&lt;1,G55&gt;5),"",CHOOSE(G55,9,6,4,2,1)+2*IF(H55="",0,H55))</x:f>
      </x:c>
      <x:c r="J55" s="63" t="str"/>
    </x:row>
    <x:row r="56">
      <x:c r="A56" s="72" t="n">
        <x:v>1</x:v>
      </x:c>
      <x:c r="B56" s="72" t="str">
        <x:v>K</x:v>
      </x:c>
      <x:c r="C56" s="72" t="n">
        <x:v>2</x:v>
      </x:c>
      <x:c r="D56" s="72" t="n">
        <x:v>52</x:v>
      </x:c>
      <x:c r="E56" s="72" t="str">
        <x:f>IFERROR(IF(VLOOKUP(D56,Giocatori!$A$4:$C$73,2,FALSE)&lt;&gt;"",VLOOKUP(D56,Giocatori!$A$4:$C$73,2,FALSE),"Giocatore "&amp;D56),"Giocatore "&amp;D56)</x:f>
        <x:v>Montanera Michele</x:v>
      </x:c>
      <x:c r="F56" s="63" t="str"/>
      <x:c r="G56" s="63" t="str"/>
      <x:c r="H56" s="63" t="n">
        <x:v>0</x:v>
      </x:c>
      <x:c r="I56" s="72" t="str">
        <x:f>IF(OR(G56="",G56&lt;1,G56&gt;5),"",CHOOSE(G56,9,6,4,2,1)+2*IF(H56="",0,H56))</x:f>
      </x:c>
      <x:c r="J56" s="63" t="str"/>
    </x:row>
    <x:row r="57">
      <x:c r="A57" s="72" t="n">
        <x:v>1</x:v>
      </x:c>
      <x:c r="B57" s="72" t="str">
        <x:v>K</x:v>
      </x:c>
      <x:c r="C57" s="72" t="n">
        <x:v>3</x:v>
      </x:c>
      <x:c r="D57" s="72" t="n">
        <x:v>53</x:v>
      </x:c>
      <x:c r="E57" s="72" t="str">
        <x:f>IFERROR(IF(VLOOKUP(D57,Giocatori!$A$4:$C$73,2,FALSE)&lt;&gt;"",VLOOKUP(D57,Giocatori!$A$4:$C$73,2,FALSE),"Giocatore "&amp;D57),"Giocatore "&amp;D57)</x:f>
        <x:v>Gaita Rossano</x:v>
      </x:c>
      <x:c r="F57" s="63" t="str"/>
      <x:c r="G57" s="63" t="str"/>
      <x:c r="H57" s="63" t="n">
        <x:v>0</x:v>
      </x:c>
      <x:c r="I57" s="72" t="str">
        <x:f>IF(OR(G57="",G57&lt;1,G57&gt;5),"",CHOOSE(G57,9,6,4,2,1)+2*IF(H57="",0,H57))</x:f>
      </x:c>
      <x:c r="J57" s="63" t="str"/>
    </x:row>
    <x:row r="58">
      <x:c r="A58" s="72" t="n">
        <x:v>1</x:v>
      </x:c>
      <x:c r="B58" s="72" t="str">
        <x:v>K</x:v>
      </x:c>
      <x:c r="C58" s="72" t="n">
        <x:v>4</x:v>
      </x:c>
      <x:c r="D58" s="72" t="n">
        <x:v>54</x:v>
      </x:c>
      <x:c r="E58" s="72" t="str">
        <x:f>IFERROR(IF(VLOOKUP(D58,Giocatori!$A$4:$C$73,2,FALSE)&lt;&gt;"",VLOOKUP(D58,Giocatori!$A$4:$C$73,2,FALSE),"Giocatore "&amp;D58),"Giocatore "&amp;D58)</x:f>
        <x:v>Giugliano Domenico</x:v>
      </x:c>
      <x:c r="F58" s="63" t="str"/>
      <x:c r="G58" s="63" t="str"/>
      <x:c r="H58" s="63" t="n">
        <x:v>0</x:v>
      </x:c>
      <x:c r="I58" s="72" t="str">
        <x:f>IF(OR(G58="",G58&lt;1,G58&gt;5),"",CHOOSE(G58,9,6,4,2,1)+2*IF(H58="",0,H58))</x:f>
      </x:c>
      <x:c r="J58" s="63" t="str"/>
    </x:row>
    <x:row r="59">
      <x:c r="A59" s="72" t="n">
        <x:v>1</x:v>
      </x:c>
      <x:c r="B59" s="72" t="str">
        <x:v>K</x:v>
      </x:c>
      <x:c r="C59" s="72" t="n">
        <x:v>5</x:v>
      </x:c>
      <x:c r="D59" s="72" t="n">
        <x:v>55</x:v>
      </x:c>
      <x:c r="E59" s="72" t="str">
        <x:f>IFERROR(IF(VLOOKUP(D59,Giocatori!$A$4:$C$73,2,FALSE)&lt;&gt;"",VLOOKUP(D59,Giocatori!$A$4:$C$73,2,FALSE),"Giocatore "&amp;D59),"Giocatore "&amp;D59)</x:f>
        <x:v>Montanera Raffaele</x:v>
      </x:c>
      <x:c r="F59" s="63" t="str"/>
      <x:c r="G59" s="63" t="str"/>
      <x:c r="H59" s="63" t="n">
        <x:v>0</x:v>
      </x:c>
      <x:c r="I59" s="72" t="str">
        <x:f>IF(OR(G59="",G59&lt;1,G59&gt;5),"",CHOOSE(G59,9,6,4,2,1)+2*IF(H59="",0,H59))</x:f>
      </x:c>
      <x:c r="J59" s="63" t="str"/>
    </x:row>
    <x:row r="60">
      <x:c r="A60" s="76" t="n">
        <x:v>2</x:v>
      </x:c>
      <x:c r="B60" s="76" t="str">
        <x:v>A</x:v>
      </x:c>
      <x:c r="C60" s="76" t="n">
        <x:v>1</x:v>
      </x:c>
      <x:c r="D60" s="76" t="n">
        <x:v>1</x:v>
      </x:c>
      <x:c r="E60" s="76" t="str">
        <x:f>IFERROR(IF(VLOOKUP(D60,Giocatori!$A$4:$C$73,2,FALSE)&lt;&gt;"",VLOOKUP(D60,Giocatori!$A$4:$C$73,2,FALSE),"Giocatore "&amp;D60),"Giocatore "&amp;D60)</x:f>
        <x:v>Annunziata Michele</x:v>
      </x:c>
      <x:c r="F60" s="77" t="str"/>
      <x:c r="G60" s="77" t="str"/>
      <x:c r="H60" s="77" t="n">
        <x:v>0</x:v>
      </x:c>
      <x:c r="I60" s="76" t="str">
        <x:f>IF(OR(G60="",G60&lt;1,G60&gt;5),"",CHOOSE(G60,9,6,4,2,1)+2*IF(H60="",0,H60))</x:f>
      </x:c>
      <x:c r="J60" s="77" t="str"/>
    </x:row>
    <x:row r="61">
      <x:c r="A61" s="72" t="n">
        <x:v>2</x:v>
      </x:c>
      <x:c r="B61" s="72" t="str">
        <x:v>A</x:v>
      </x:c>
      <x:c r="C61" s="72" t="n">
        <x:v>2</x:v>
      </x:c>
      <x:c r="D61" s="72" t="n">
        <x:v>52</x:v>
      </x:c>
      <x:c r="E61" s="72" t="str">
        <x:f>IFERROR(IF(VLOOKUP(D61,Giocatori!$A$4:$C$73,2,FALSE)&lt;&gt;"",VLOOKUP(D61,Giocatori!$A$4:$C$73,2,FALSE),"Giocatore "&amp;D61),"Giocatore "&amp;D61)</x:f>
        <x:v>Montanera Michele</x:v>
      </x:c>
      <x:c r="F61" s="63" t="str"/>
      <x:c r="G61" s="63" t="str"/>
      <x:c r="H61" s="63" t="n">
        <x:v>0</x:v>
      </x:c>
      <x:c r="I61" s="72" t="str">
        <x:f>IF(OR(G61="",G61&lt;1,G61&gt;5),"",CHOOSE(G61,9,6,4,2,1)+2*IF(H61="",0,H61))</x:f>
      </x:c>
      <x:c r="J61" s="63" t="str"/>
    </x:row>
    <x:row r="62">
      <x:c r="A62" s="72" t="n">
        <x:v>2</x:v>
      </x:c>
      <x:c r="B62" s="72" t="str">
        <x:v>A</x:v>
      </x:c>
      <x:c r="C62" s="72" t="n">
        <x:v>3</x:v>
      </x:c>
      <x:c r="D62" s="72" t="n">
        <x:v>48</x:v>
      </x:c>
      <x:c r="E62" s="72" t="str">
        <x:f>IFERROR(IF(VLOOKUP(D62,Giocatori!$A$4:$C$73,2,FALSE)&lt;&gt;"",VLOOKUP(D62,Giocatori!$A$4:$C$73,2,FALSE),"Giocatore "&amp;D62),"Giocatore "&amp;D62)</x:f>
        <x:v>Nspolitano Carlo</x:v>
      </x:c>
      <x:c r="F62" s="63" t="str"/>
      <x:c r="G62" s="63" t="str"/>
      <x:c r="H62" s="63" t="n">
        <x:v>0</x:v>
      </x:c>
      <x:c r="I62" s="72" t="str">
        <x:f>IF(OR(G62="",G62&lt;1,G62&gt;5),"",CHOOSE(G62,9,6,4,2,1)+2*IF(H62="",0,H62))</x:f>
      </x:c>
      <x:c r="J62" s="63" t="str"/>
    </x:row>
    <x:row r="63">
      <x:c r="A63" s="72" t="n">
        <x:v>2</x:v>
      </x:c>
      <x:c r="B63" s="72" t="str">
        <x:v>A</x:v>
      </x:c>
      <x:c r="C63" s="72" t="n">
        <x:v>4</x:v>
      </x:c>
      <x:c r="D63" s="72" t="n">
        <x:v>44</x:v>
      </x:c>
      <x:c r="E63" s="72" t="str">
        <x:f>IFERROR(IF(VLOOKUP(D63,Giocatori!$A$4:$C$73,2,FALSE)&lt;&gt;"",VLOOKUP(D63,Giocatori!$A$4:$C$73,2,FALSE),"Giocatore "&amp;D63),"Giocatore "&amp;D63)</x:f>
        <x:v>Abbate Michele</x:v>
      </x:c>
      <x:c r="F63" s="63" t="str"/>
      <x:c r="G63" s="63" t="str"/>
      <x:c r="H63" s="63" t="n">
        <x:v>0</x:v>
      </x:c>
      <x:c r="I63" s="72" t="str">
        <x:f>IF(OR(G63="",G63&lt;1,G63&gt;5),"",CHOOSE(G63,9,6,4,2,1)+2*IF(H63="",0,H63))</x:f>
      </x:c>
      <x:c r="J63" s="63" t="str"/>
    </x:row>
    <x:row r="64">
      <x:c r="A64" s="72" t="n">
        <x:v>2</x:v>
      </x:c>
      <x:c r="B64" s="72" t="str">
        <x:v>A</x:v>
      </x:c>
      <x:c r="C64" s="72" t="n">
        <x:v>5</x:v>
      </x:c>
      <x:c r="D64" s="72" t="n">
        <x:v>40</x:v>
      </x:c>
      <x:c r="E64" s="72" t="str">
        <x:f>IFERROR(IF(VLOOKUP(D64,Giocatori!$A$4:$C$73,2,FALSE)&lt;&gt;"",VLOOKUP(D64,Giocatori!$A$4:$C$73,2,FALSE),"Giocatore "&amp;D64),"Giocatore "&amp;D64)</x:f>
        <x:v>Carbone Felice</x:v>
      </x:c>
      <x:c r="F64" s="63" t="str"/>
      <x:c r="G64" s="63" t="str"/>
      <x:c r="H64" s="63" t="n">
        <x:v>0</x:v>
      </x:c>
      <x:c r="I64" s="72" t="str">
        <x:f>IF(OR(G64="",G64&lt;1,G64&gt;5),"",CHOOSE(G64,9,6,4,2,1)+2*IF(H64="",0,H64))</x:f>
      </x:c>
      <x:c r="J64" s="63" t="str"/>
    </x:row>
    <x:row r="65">
      <x:c r="A65" s="72" t="n">
        <x:v>2</x:v>
      </x:c>
      <x:c r="B65" s="72" t="str">
        <x:v>B</x:v>
      </x:c>
      <x:c r="C65" s="72" t="n">
        <x:v>1</x:v>
      </x:c>
      <x:c r="D65" s="72" t="n">
        <x:v>6</x:v>
      </x:c>
      <x:c r="E65" s="72" t="str">
        <x:f>IFERROR(IF(VLOOKUP(D65,Giocatori!$A$4:$C$73,2,FALSE)&lt;&gt;"",VLOOKUP(D65,Giocatori!$A$4:$C$73,2,FALSE),"Giocatore "&amp;D65),"Giocatore "&amp;D65)</x:f>
        <x:v>Panico Pasquale</x:v>
      </x:c>
      <x:c r="F65" s="63" t="str"/>
      <x:c r="G65" s="63" t="str"/>
      <x:c r="H65" s="63" t="n">
        <x:v>0</x:v>
      </x:c>
      <x:c r="I65" s="72" t="str">
        <x:f>IF(OR(G65="",G65&lt;1,G65&gt;5),"",CHOOSE(G65,9,6,4,2,1)+2*IF(H65="",0,H65))</x:f>
      </x:c>
      <x:c r="J65" s="63" t="str"/>
    </x:row>
    <x:row r="66">
      <x:c r="A66" s="72" t="n">
        <x:v>2</x:v>
      </x:c>
      <x:c r="B66" s="72" t="str">
        <x:v>B</x:v>
      </x:c>
      <x:c r="C66" s="72" t="n">
        <x:v>2</x:v>
      </x:c>
      <x:c r="D66" s="72" t="n">
        <x:v>2</x:v>
      </x:c>
      <x:c r="E66" s="72" t="str">
        <x:f>IFERROR(IF(VLOOKUP(D66,Giocatori!$A$4:$C$73,2,FALSE)&lt;&gt;"",VLOOKUP(D66,Giocatori!$A$4:$C$73,2,FALSE),"Giocatore "&amp;D66),"Giocatore "&amp;D66)</x:f>
        <x:v>La Marca Carlo</x:v>
      </x:c>
      <x:c r="F66" s="63" t="str"/>
      <x:c r="G66" s="63" t="str"/>
      <x:c r="H66" s="63" t="n">
        <x:v>0</x:v>
      </x:c>
      <x:c r="I66" s="72" t="str">
        <x:f>IF(OR(G66="",G66&lt;1,G66&gt;5),"",CHOOSE(G66,9,6,4,2,1)+2*IF(H66="",0,H66))</x:f>
      </x:c>
      <x:c r="J66" s="63" t="str"/>
    </x:row>
    <x:row r="67">
      <x:c r="A67" s="72" t="n">
        <x:v>2</x:v>
      </x:c>
      <x:c r="B67" s="72" t="str">
        <x:v>B</x:v>
      </x:c>
      <x:c r="C67" s="72" t="n">
        <x:v>3</x:v>
      </x:c>
      <x:c r="D67" s="72" t="n">
        <x:v>53</x:v>
      </x:c>
      <x:c r="E67" s="72" t="str">
        <x:f>IFERROR(IF(VLOOKUP(D67,Giocatori!$A$4:$C$73,2,FALSE)&lt;&gt;"",VLOOKUP(D67,Giocatori!$A$4:$C$73,2,FALSE),"Giocatore "&amp;D67),"Giocatore "&amp;D67)</x:f>
        <x:v>Gaita Rossano</x:v>
      </x:c>
      <x:c r="F67" s="63" t="str"/>
      <x:c r="G67" s="63" t="str"/>
      <x:c r="H67" s="63" t="n">
        <x:v>0</x:v>
      </x:c>
      <x:c r="I67" s="72" t="str">
        <x:f>IF(OR(G67="",G67&lt;1,G67&gt;5),"",CHOOSE(G67,9,6,4,2,1)+2*IF(H67="",0,H67))</x:f>
      </x:c>
      <x:c r="J67" s="63" t="str"/>
    </x:row>
    <x:row r="68">
      <x:c r="A68" s="72" t="n">
        <x:v>2</x:v>
      </x:c>
      <x:c r="B68" s="72" t="str">
        <x:v>B</x:v>
      </x:c>
      <x:c r="C68" s="72" t="n">
        <x:v>4</x:v>
      </x:c>
      <x:c r="D68" s="72" t="n">
        <x:v>49</x:v>
      </x:c>
      <x:c r="E68" s="72" t="str">
        <x:f>IFERROR(IF(VLOOKUP(D68,Giocatori!$A$4:$C$73,2,FALSE)&lt;&gt;"",VLOOKUP(D68,Giocatori!$A$4:$C$73,2,FALSE),"Giocatore "&amp;D68),"Giocatore "&amp;D68)</x:f>
        <x:v>Tufano Michele</x:v>
      </x:c>
      <x:c r="F68" s="63" t="str"/>
      <x:c r="G68" s="63" t="str"/>
      <x:c r="H68" s="63" t="n">
        <x:v>0</x:v>
      </x:c>
      <x:c r="I68" s="72" t="str">
        <x:f>IF(OR(G68="",G68&lt;1,G68&gt;5),"",CHOOSE(G68,9,6,4,2,1)+2*IF(H68="",0,H68))</x:f>
      </x:c>
      <x:c r="J68" s="63" t="str"/>
    </x:row>
    <x:row r="69">
      <x:c r="A69" s="72" t="n">
        <x:v>2</x:v>
      </x:c>
      <x:c r="B69" s="72" t="str">
        <x:v>B</x:v>
      </x:c>
      <x:c r="C69" s="72" t="n">
        <x:v>5</x:v>
      </x:c>
      <x:c r="D69" s="72" t="n">
        <x:v>45</x:v>
      </x:c>
      <x:c r="E69" s="72" t="str">
        <x:f>IFERROR(IF(VLOOKUP(D69,Giocatori!$A$4:$C$73,2,FALSE)&lt;&gt;"",VLOOKUP(D69,Giocatori!$A$4:$C$73,2,FALSE),"Giocatore "&amp;D69),"Giocatore "&amp;D69)</x:f>
        <x:v>Isernia Antonio</x:v>
      </x:c>
      <x:c r="F69" s="63" t="str"/>
      <x:c r="G69" s="63" t="str"/>
      <x:c r="H69" s="63" t="n">
        <x:v>0</x:v>
      </x:c>
      <x:c r="I69" s="72" t="str">
        <x:f>IF(OR(G69="",G69&lt;1,G69&gt;5),"",CHOOSE(G69,9,6,4,2,1)+2*IF(H69="",0,H69))</x:f>
      </x:c>
      <x:c r="J69" s="63" t="str"/>
    </x:row>
    <x:row r="70">
      <x:c r="A70" s="72" t="n">
        <x:v>2</x:v>
      </x:c>
      <x:c r="B70" s="72" t="str">
        <x:v>C</x:v>
      </x:c>
      <x:c r="C70" s="72" t="n">
        <x:v>1</x:v>
      </x:c>
      <x:c r="D70" s="72" t="n">
        <x:v>11</x:v>
      </x:c>
      <x:c r="E70" s="72" t="str">
        <x:f>IFERROR(IF(VLOOKUP(D70,Giocatori!$A$4:$C$73,2,FALSE)&lt;&gt;"",VLOOKUP(D70,Giocatori!$A$4:$C$73,2,FALSE),"Giocatore "&amp;D70),"Giocatore "&amp;D70)</x:f>
        <x:v>Notaro Giacomo</x:v>
      </x:c>
      <x:c r="F70" s="63" t="str"/>
      <x:c r="G70" s="63" t="str"/>
      <x:c r="H70" s="63" t="n">
        <x:v>0</x:v>
      </x:c>
      <x:c r="I70" s="72" t="str">
        <x:f>IF(OR(G70="",G70&lt;1,G70&gt;5),"",CHOOSE(G70,9,6,4,2,1)+2*IF(H70="",0,H70))</x:f>
      </x:c>
      <x:c r="J70" s="63" t="str"/>
    </x:row>
    <x:row r="71">
      <x:c r="A71" s="72" t="n">
        <x:v>2</x:v>
      </x:c>
      <x:c r="B71" s="72" t="str">
        <x:v>C</x:v>
      </x:c>
      <x:c r="C71" s="72" t="n">
        <x:v>2</x:v>
      </x:c>
      <x:c r="D71" s="72" t="n">
        <x:v>7</x:v>
      </x:c>
      <x:c r="E71" s="72" t="str">
        <x:f>IFERROR(IF(VLOOKUP(D71,Giocatori!$A$4:$C$73,2,FALSE)&lt;&gt;"",VLOOKUP(D71,Giocatori!$A$4:$C$73,2,FALSE),"Giocatore "&amp;D71),"Giocatore "&amp;D71)</x:f>
        <x:v>Ambrosino Michele</x:v>
      </x:c>
      <x:c r="F71" s="63" t="str"/>
      <x:c r="G71" s="63" t="str"/>
      <x:c r="H71" s="63" t="n">
        <x:v>0</x:v>
      </x:c>
      <x:c r="I71" s="72" t="str">
        <x:f>IF(OR(G71="",G71&lt;1,G71&gt;5),"",CHOOSE(G71,9,6,4,2,1)+2*IF(H71="",0,H71))</x:f>
      </x:c>
      <x:c r="J71" s="63" t="str"/>
    </x:row>
    <x:row r="72">
      <x:c r="A72" s="72" t="n">
        <x:v>2</x:v>
      </x:c>
      <x:c r="B72" s="72" t="str">
        <x:v>C</x:v>
      </x:c>
      <x:c r="C72" s="72" t="n">
        <x:v>3</x:v>
      </x:c>
      <x:c r="D72" s="72" t="n">
        <x:v>3</x:v>
      </x:c>
      <x:c r="E72" s="72" t="str">
        <x:f>IFERROR(IF(VLOOKUP(D72,Giocatori!$A$4:$C$73,2,FALSE)&lt;&gt;"",VLOOKUP(D72,Giocatori!$A$4:$C$73,2,FALSE),"Giocatore "&amp;D72),"Giocatore "&amp;D72)</x:f>
        <x:v>Sommese Antonio</x:v>
      </x:c>
      <x:c r="F72" s="63" t="str"/>
      <x:c r="G72" s="63" t="str"/>
      <x:c r="H72" s="63" t="n">
        <x:v>0</x:v>
      </x:c>
      <x:c r="I72" s="72" t="str">
        <x:f>IF(OR(G72="",G72&lt;1,G72&gt;5),"",CHOOSE(G72,9,6,4,2,1)+2*IF(H72="",0,H72))</x:f>
      </x:c>
      <x:c r="J72" s="63" t="str"/>
    </x:row>
    <x:row r="73">
      <x:c r="A73" s="72" t="n">
        <x:v>2</x:v>
      </x:c>
      <x:c r="B73" s="72" t="str">
        <x:v>C</x:v>
      </x:c>
      <x:c r="C73" s="72" t="n">
        <x:v>4</x:v>
      </x:c>
      <x:c r="D73" s="72" t="n">
        <x:v>54</x:v>
      </x:c>
      <x:c r="E73" s="72" t="str">
        <x:f>IFERROR(IF(VLOOKUP(D73,Giocatori!$A$4:$C$73,2,FALSE)&lt;&gt;"",VLOOKUP(D73,Giocatori!$A$4:$C$73,2,FALSE),"Giocatore "&amp;D73),"Giocatore "&amp;D73)</x:f>
        <x:v>Giugliano Domenico</x:v>
      </x:c>
      <x:c r="F73" s="63" t="str"/>
      <x:c r="G73" s="63" t="str"/>
      <x:c r="H73" s="63" t="n">
        <x:v>0</x:v>
      </x:c>
      <x:c r="I73" s="72" t="str">
        <x:f>IF(OR(G73="",G73&lt;1,G73&gt;5),"",CHOOSE(G73,9,6,4,2,1)+2*IF(H73="",0,H73))</x:f>
      </x:c>
      <x:c r="J73" s="63" t="str"/>
    </x:row>
    <x:row r="74">
      <x:c r="A74" s="72" t="n">
        <x:v>2</x:v>
      </x:c>
      <x:c r="B74" s="72" t="str">
        <x:v>C</x:v>
      </x:c>
      <x:c r="C74" s="72" t="n">
        <x:v>5</x:v>
      </x:c>
      <x:c r="D74" s="72" t="n">
        <x:v>50</x:v>
      </x:c>
      <x:c r="E74" s="72" t="str">
        <x:f>IFERROR(IF(VLOOKUP(D74,Giocatori!$A$4:$C$73,2,FALSE)&lt;&gt;"",VLOOKUP(D74,Giocatori!$A$4:$C$73,2,FALSE),"Giocatore "&amp;D74),"Giocatore "&amp;D74)</x:f>
        <x:v>Bartolo</x:v>
      </x:c>
      <x:c r="F74" s="63" t="str"/>
      <x:c r="G74" s="63" t="str"/>
      <x:c r="H74" s="63" t="n">
        <x:v>0</x:v>
      </x:c>
      <x:c r="I74" s="72" t="str">
        <x:f>IF(OR(G74="",G74&lt;1,G74&gt;5),"",CHOOSE(G74,9,6,4,2,1)+2*IF(H74="",0,H74))</x:f>
      </x:c>
      <x:c r="J74" s="63" t="str"/>
    </x:row>
    <x:row r="75">
      <x:c r="A75" s="72" t="n">
        <x:v>2</x:v>
      </x:c>
      <x:c r="B75" s="72" t="str">
        <x:v>D</x:v>
      </x:c>
      <x:c r="C75" s="72" t="n">
        <x:v>1</x:v>
      </x:c>
      <x:c r="D75" s="72" t="n">
        <x:v>16</x:v>
      </x:c>
      <x:c r="E75" s="72" t="str">
        <x:f>IFERROR(IF(VLOOKUP(D75,Giocatori!$A$4:$C$73,2,FALSE)&lt;&gt;"",VLOOKUP(D75,Giocatori!$A$4:$C$73,2,FALSE),"Giocatore "&amp;D75),"Giocatore "&amp;D75)</x:f>
        <x:v>Beracci Benedetto</x:v>
      </x:c>
      <x:c r="F75" s="63" t="str"/>
      <x:c r="G75" s="63" t="str"/>
      <x:c r="H75" s="63" t="n">
        <x:v>0</x:v>
      </x:c>
      <x:c r="I75" s="72" t="str">
        <x:f>IF(OR(G75="",G75&lt;1,G75&gt;5),"",CHOOSE(G75,9,6,4,2,1)+2*IF(H75="",0,H75))</x:f>
      </x:c>
      <x:c r="J75" s="63" t="str"/>
    </x:row>
    <x:row r="76">
      <x:c r="A76" s="72" t="n">
        <x:v>2</x:v>
      </x:c>
      <x:c r="B76" s="72" t="str">
        <x:v>D</x:v>
      </x:c>
      <x:c r="C76" s="72" t="n">
        <x:v>2</x:v>
      </x:c>
      <x:c r="D76" s="72" t="n">
        <x:v>12</x:v>
      </x:c>
      <x:c r="E76" s="72" t="str">
        <x:f>IFERROR(IF(VLOOKUP(D76,Giocatori!$A$4:$C$73,2,FALSE)&lt;&gt;"",VLOOKUP(D76,Giocatori!$A$4:$C$73,2,FALSE),"Giocatore "&amp;D76),"Giocatore "&amp;D76)</x:f>
        <x:v>Scognamiglio Alfredo</x:v>
      </x:c>
      <x:c r="F76" s="63" t="str"/>
      <x:c r="G76" s="63" t="str"/>
      <x:c r="H76" s="63" t="n">
        <x:v>0</x:v>
      </x:c>
      <x:c r="I76" s="72" t="str">
        <x:f>IF(OR(G76="",G76&lt;1,G76&gt;5),"",CHOOSE(G76,9,6,4,2,1)+2*IF(H76="",0,H76))</x:f>
      </x:c>
      <x:c r="J76" s="63" t="str"/>
    </x:row>
    <x:row r="77">
      <x:c r="A77" s="72" t="n">
        <x:v>2</x:v>
      </x:c>
      <x:c r="B77" s="72" t="str">
        <x:v>D</x:v>
      </x:c>
      <x:c r="C77" s="72" t="n">
        <x:v>3</x:v>
      </x:c>
      <x:c r="D77" s="72" t="n">
        <x:v>8</x:v>
      </x:c>
      <x:c r="E77" s="72" t="str">
        <x:f>IFERROR(IF(VLOOKUP(D77,Giocatori!$A$4:$C$73,2,FALSE)&lt;&gt;"",VLOOKUP(D77,Giocatori!$A$4:$C$73,2,FALSE),"Giocatore "&amp;D77),"Giocatore "&amp;D77)</x:f>
        <x:v>Ambrosino Raffaele</x:v>
      </x:c>
      <x:c r="F77" s="63" t="str"/>
      <x:c r="G77" s="63" t="str"/>
      <x:c r="H77" s="63" t="n">
        <x:v>0</x:v>
      </x:c>
      <x:c r="I77" s="72" t="str">
        <x:f>IF(OR(G77="",G77&lt;1,G77&gt;5),"",CHOOSE(G77,9,6,4,2,1)+2*IF(H77="",0,H77))</x:f>
      </x:c>
      <x:c r="J77" s="63" t="str"/>
    </x:row>
    <x:row r="78">
      <x:c r="A78" s="72" t="n">
        <x:v>2</x:v>
      </x:c>
      <x:c r="B78" s="72" t="str">
        <x:v>D</x:v>
      </x:c>
      <x:c r="C78" s="72" t="n">
        <x:v>4</x:v>
      </x:c>
      <x:c r="D78" s="72" t="n">
        <x:v>4</x:v>
      </x:c>
      <x:c r="E78" s="72" t="str">
        <x:f>IFERROR(IF(VLOOKUP(D78,Giocatori!$A$4:$C$73,2,FALSE)&lt;&gt;"",VLOOKUP(D78,Giocatori!$A$4:$C$73,2,FALSE),"Giocatore "&amp;D78),"Giocatore "&amp;D78)</x:f>
        <x:v>Annunziata Raffaele</x:v>
      </x:c>
      <x:c r="F78" s="63" t="str"/>
      <x:c r="G78" s="63" t="str"/>
      <x:c r="H78" s="63" t="n">
        <x:v>0</x:v>
      </x:c>
      <x:c r="I78" s="72" t="str">
        <x:f>IF(OR(G78="",G78&lt;1,G78&gt;5),"",CHOOSE(G78,9,6,4,2,1)+2*IF(H78="",0,H78))</x:f>
      </x:c>
      <x:c r="J78" s="63" t="str"/>
    </x:row>
    <x:row r="79">
      <x:c r="A79" s="72" t="n">
        <x:v>2</x:v>
      </x:c>
      <x:c r="B79" s="72" t="str">
        <x:v>D</x:v>
      </x:c>
      <x:c r="C79" s="72" t="n">
        <x:v>5</x:v>
      </x:c>
      <x:c r="D79" s="72" t="n">
        <x:v>55</x:v>
      </x:c>
      <x:c r="E79" s="72" t="str">
        <x:f>IFERROR(IF(VLOOKUP(D79,Giocatori!$A$4:$C$73,2,FALSE)&lt;&gt;"",VLOOKUP(D79,Giocatori!$A$4:$C$73,2,FALSE),"Giocatore "&amp;D79),"Giocatore "&amp;D79)</x:f>
        <x:v>Montanera Raffaele</x:v>
      </x:c>
      <x:c r="F79" s="63" t="str"/>
      <x:c r="G79" s="63" t="str"/>
      <x:c r="H79" s="63" t="n">
        <x:v>0</x:v>
      </x:c>
      <x:c r="I79" s="72" t="str">
        <x:f>IF(OR(G79="",G79&lt;1,G79&gt;5),"",CHOOSE(G79,9,6,4,2,1)+2*IF(H79="",0,H79))</x:f>
      </x:c>
      <x:c r="J79" s="63" t="str"/>
    </x:row>
    <x:row r="80">
      <x:c r="A80" s="72" t="n">
        <x:v>2</x:v>
      </x:c>
      <x:c r="B80" s="72" t="str">
        <x:v>E</x:v>
      </x:c>
      <x:c r="C80" s="72" t="n">
        <x:v>1</x:v>
      </x:c>
      <x:c r="D80" s="72" t="n">
        <x:v>21</x:v>
      </x:c>
      <x:c r="E80" s="72" t="str">
        <x:f>IFERROR(IF(VLOOKUP(D80,Giocatori!$A$4:$C$73,2,FALSE)&lt;&gt;"",VLOOKUP(D80,Giocatori!$A$4:$C$73,2,FALSE),"Giocatore "&amp;D80),"Giocatore "&amp;D80)</x:f>
        <x:v>Tufano Raffaele</x:v>
      </x:c>
      <x:c r="F80" s="63" t="str"/>
      <x:c r="G80" s="63" t="str"/>
      <x:c r="H80" s="63" t="n">
        <x:v>0</x:v>
      </x:c>
      <x:c r="I80" s="72" t="str">
        <x:f>IF(OR(G80="",G80&lt;1,G80&gt;5),"",CHOOSE(G80,9,6,4,2,1)+2*IF(H80="",0,H80))</x:f>
      </x:c>
      <x:c r="J80" s="63" t="str"/>
    </x:row>
    <x:row r="81">
      <x:c r="A81" s="72" t="n">
        <x:v>2</x:v>
      </x:c>
      <x:c r="B81" s="72" t="str">
        <x:v>E</x:v>
      </x:c>
      <x:c r="C81" s="72" t="n">
        <x:v>2</x:v>
      </x:c>
      <x:c r="D81" s="72" t="n">
        <x:v>17</x:v>
      </x:c>
      <x:c r="E81" s="72" t="str">
        <x:f>IFERROR(IF(VLOOKUP(D81,Giocatori!$A$4:$C$73,2,FALSE)&lt;&gt;"",VLOOKUP(D81,Giocatori!$A$4:$C$73,2,FALSE),"Giocatore "&amp;D81),"Giocatore "&amp;D81)</x:f>
        <x:v>Tufano Giovanni</x:v>
      </x:c>
      <x:c r="F81" s="63" t="str"/>
      <x:c r="G81" s="63" t="str"/>
      <x:c r="H81" s="63" t="n">
        <x:v>0</x:v>
      </x:c>
      <x:c r="I81" s="72" t="str">
        <x:f>IF(OR(G81="",G81&lt;1,G81&gt;5),"",CHOOSE(G81,9,6,4,2,1)+2*IF(H81="",0,H81))</x:f>
      </x:c>
      <x:c r="J81" s="63" t="str"/>
    </x:row>
    <x:row r="82">
      <x:c r="A82" s="72" t="n">
        <x:v>2</x:v>
      </x:c>
      <x:c r="B82" s="72" t="str">
        <x:v>E</x:v>
      </x:c>
      <x:c r="C82" s="72" t="n">
        <x:v>3</x:v>
      </x:c>
      <x:c r="D82" s="72" t="n">
        <x:v>13</x:v>
      </x:c>
      <x:c r="E82" s="72" t="str">
        <x:f>IFERROR(IF(VLOOKUP(D82,Giocatori!$A$4:$C$73,2,FALSE)&lt;&gt;"",VLOOKUP(D82,Giocatori!$A$4:$C$73,2,FALSE),"Giocatore "&amp;D82),"Giocatore "&amp;D82)</x:f>
        <x:v>Del Vecchio Diego</x:v>
      </x:c>
      <x:c r="F82" s="63" t="str"/>
      <x:c r="G82" s="63" t="str"/>
      <x:c r="H82" s="63" t="n">
        <x:v>0</x:v>
      </x:c>
      <x:c r="I82" s="72" t="str">
        <x:f>IF(OR(G82="",G82&lt;1,G82&gt;5),"",CHOOSE(G82,9,6,4,2,1)+2*IF(H82="",0,H82))</x:f>
      </x:c>
      <x:c r="J82" s="63" t="str"/>
    </x:row>
    <x:row r="83">
      <x:c r="A83" s="72" t="n">
        <x:v>2</x:v>
      </x:c>
      <x:c r="B83" s="72" t="str">
        <x:v>E</x:v>
      </x:c>
      <x:c r="C83" s="72" t="n">
        <x:v>4</x:v>
      </x:c>
      <x:c r="D83" s="72" t="n">
        <x:v>9</x:v>
      </x:c>
      <x:c r="E83" s="72" t="str">
        <x:f>IFERROR(IF(VLOOKUP(D83,Giocatori!$A$4:$C$73,2,FALSE)&lt;&gt;"",VLOOKUP(D83,Giocatori!$A$4:$C$73,2,FALSE),"Giocatore "&amp;D83),"Giocatore "&amp;D83)</x:f>
        <x:v>Nappo Angelo</x:v>
      </x:c>
      <x:c r="F83" s="63" t="str"/>
      <x:c r="G83" s="63" t="str"/>
      <x:c r="H83" s="63" t="n">
        <x:v>0</x:v>
      </x:c>
      <x:c r="I83" s="72" t="str">
        <x:f>IF(OR(G83="",G83&lt;1,G83&gt;5),"",CHOOSE(G83,9,6,4,2,1)+2*IF(H83="",0,H83))</x:f>
      </x:c>
      <x:c r="J83" s="63" t="str"/>
    </x:row>
    <x:row r="84">
      <x:c r="A84" s="72" t="n">
        <x:v>2</x:v>
      </x:c>
      <x:c r="B84" s="72" t="str">
        <x:v>E</x:v>
      </x:c>
      <x:c r="C84" s="72" t="n">
        <x:v>5</x:v>
      </x:c>
      <x:c r="D84" s="72" t="n">
        <x:v>5</x:v>
      </x:c>
      <x:c r="E84" s="72" t="str">
        <x:f>IFERROR(IF(VLOOKUP(D84,Giocatori!$A$4:$C$73,2,FALSE)&lt;&gt;"",VLOOKUP(D84,Giocatori!$A$4:$C$73,2,FALSE),"Giocatore "&amp;D84),"Giocatore "&amp;D84)</x:f>
        <x:v>La Marca Pasquale</x:v>
      </x:c>
      <x:c r="F84" s="63" t="str"/>
      <x:c r="G84" s="63" t="str"/>
      <x:c r="H84" s="63" t="n">
        <x:v>0</x:v>
      </x:c>
      <x:c r="I84" s="72" t="str">
        <x:f>IF(OR(G84="",G84&lt;1,G84&gt;5),"",CHOOSE(G84,9,6,4,2,1)+2*IF(H84="",0,H84))</x:f>
      </x:c>
      <x:c r="J84" s="63" t="str"/>
    </x:row>
    <x:row r="85">
      <x:c r="A85" s="72" t="n">
        <x:v>2</x:v>
      </x:c>
      <x:c r="B85" s="72" t="str">
        <x:v>F</x:v>
      </x:c>
      <x:c r="C85" s="72" t="n">
        <x:v>1</x:v>
      </x:c>
      <x:c r="D85" s="72" t="n">
        <x:v>26</x:v>
      </x:c>
      <x:c r="E85" s="72" t="str">
        <x:f>IFERROR(IF(VLOOKUP(D85,Giocatori!$A$4:$C$73,2,FALSE)&lt;&gt;"",VLOOKUP(D85,Giocatori!$A$4:$C$73,2,FALSE),"Giocatore "&amp;D85),"Giocatore "&amp;D85)</x:f>
        <x:v>Gesso Marco</x:v>
      </x:c>
      <x:c r="F85" s="63" t="str"/>
      <x:c r="G85" s="63" t="str"/>
      <x:c r="H85" s="63" t="n">
        <x:v>0</x:v>
      </x:c>
      <x:c r="I85" s="72" t="str">
        <x:f>IF(OR(G85="",G85&lt;1,G85&gt;5),"",CHOOSE(G85,9,6,4,2,1)+2*IF(H85="",0,H85))</x:f>
      </x:c>
      <x:c r="J85" s="63" t="str"/>
    </x:row>
    <x:row r="86">
      <x:c r="A86" s="72" t="n">
        <x:v>2</x:v>
      </x:c>
      <x:c r="B86" s="72" t="str">
        <x:v>F</x:v>
      </x:c>
      <x:c r="C86" s="72" t="n">
        <x:v>2</x:v>
      </x:c>
      <x:c r="D86" s="72" t="n">
        <x:v>22</x:v>
      </x:c>
      <x:c r="E86" s="72" t="str">
        <x:f>IFERROR(IF(VLOOKUP(D86,Giocatori!$A$4:$C$73,2,FALSE)&lt;&gt;"",VLOOKUP(D86,Giocatori!$A$4:$C$73,2,FALSE),"Giocatore "&amp;D86),"Giocatore "&amp;D86)</x:f>
        <x:v>Napolitano Antonio</x:v>
      </x:c>
      <x:c r="F86" s="63" t="str"/>
      <x:c r="G86" s="63" t="str"/>
      <x:c r="H86" s="63" t="n">
        <x:v>0</x:v>
      </x:c>
      <x:c r="I86" s="72" t="str">
        <x:f>IF(OR(G86="",G86&lt;1,G86&gt;5),"",CHOOSE(G86,9,6,4,2,1)+2*IF(H86="",0,H86))</x:f>
      </x:c>
      <x:c r="J86" s="63" t="str"/>
    </x:row>
    <x:row r="87">
      <x:c r="A87" s="72" t="n">
        <x:v>2</x:v>
      </x:c>
      <x:c r="B87" s="72" t="str">
        <x:v>F</x:v>
      </x:c>
      <x:c r="C87" s="72" t="n">
        <x:v>3</x:v>
      </x:c>
      <x:c r="D87" s="72" t="n">
        <x:v>18</x:v>
      </x:c>
      <x:c r="E87" s="72" t="str">
        <x:f>IFERROR(IF(VLOOKUP(D87,Giocatori!$A$4:$C$73,2,FALSE)&lt;&gt;"",VLOOKUP(D87,Giocatori!$A$4:$C$73,2,FALSE),"Giocatore "&amp;D87),"Giocatore "&amp;D87)</x:f>
        <x:v>Ambrosino Gabriele</x:v>
      </x:c>
      <x:c r="F87" s="63" t="str"/>
      <x:c r="G87" s="63" t="str"/>
      <x:c r="H87" s="63" t="n">
        <x:v>0</x:v>
      </x:c>
      <x:c r="I87" s="72" t="str">
        <x:f>IF(OR(G87="",G87&lt;1,G87&gt;5),"",CHOOSE(G87,9,6,4,2,1)+2*IF(H87="",0,H87))</x:f>
      </x:c>
      <x:c r="J87" s="63" t="str"/>
    </x:row>
    <x:row r="88">
      <x:c r="A88" s="72" t="n">
        <x:v>2</x:v>
      </x:c>
      <x:c r="B88" s="72" t="str">
        <x:v>F</x:v>
      </x:c>
      <x:c r="C88" s="72" t="n">
        <x:v>4</x:v>
      </x:c>
      <x:c r="D88" s="72" t="n">
        <x:v>14</x:v>
      </x:c>
      <x:c r="E88" s="72" t="str">
        <x:f>IFERROR(IF(VLOOKUP(D88,Giocatori!$A$4:$C$73,2,FALSE)&lt;&gt;"",VLOOKUP(D88,Giocatori!$A$4:$C$73,2,FALSE),"Giocatore "&amp;D88),"Giocatore "&amp;D88)</x:f>
        <x:v>Beracci Lucio</x:v>
      </x:c>
      <x:c r="F88" s="63" t="str"/>
      <x:c r="G88" s="63" t="str"/>
      <x:c r="H88" s="63" t="n">
        <x:v>0</x:v>
      </x:c>
      <x:c r="I88" s="72" t="str">
        <x:f>IF(OR(G88="",G88&lt;1,G88&gt;5),"",CHOOSE(G88,9,6,4,2,1)+2*IF(H88="",0,H88))</x:f>
      </x:c>
      <x:c r="J88" s="63" t="str"/>
    </x:row>
    <x:row r="89">
      <x:c r="A89" s="72" t="n">
        <x:v>2</x:v>
      </x:c>
      <x:c r="B89" s="72" t="str">
        <x:v>F</x:v>
      </x:c>
      <x:c r="C89" s="72" t="n">
        <x:v>5</x:v>
      </x:c>
      <x:c r="D89" s="72" t="n">
        <x:v>10</x:v>
      </x:c>
      <x:c r="E89" s="72" t="str">
        <x:f>IFERROR(IF(VLOOKUP(D89,Giocatori!$A$4:$C$73,2,FALSE)&lt;&gt;"",VLOOKUP(D89,Giocatori!$A$4:$C$73,2,FALSE),"Giocatore "&amp;D89),"Giocatore "&amp;D89)</x:f>
        <x:v>Cavallaro Erasmo</x:v>
      </x:c>
      <x:c r="F89" s="63" t="str"/>
      <x:c r="G89" s="63" t="str"/>
      <x:c r="H89" s="63" t="n">
        <x:v>0</x:v>
      </x:c>
      <x:c r="I89" s="72" t="str">
        <x:f>IF(OR(G89="",G89&lt;1,G89&gt;5),"",CHOOSE(G89,9,6,4,2,1)+2*IF(H89="",0,H89))</x:f>
      </x:c>
      <x:c r="J89" s="63" t="str"/>
    </x:row>
    <x:row r="90">
      <x:c r="A90" s="72" t="n">
        <x:v>2</x:v>
      </x:c>
      <x:c r="B90" s="72" t="str">
        <x:v>G</x:v>
      </x:c>
      <x:c r="C90" s="72" t="n">
        <x:v>1</x:v>
      </x:c>
      <x:c r="D90" s="72" t="n">
        <x:v>31</x:v>
      </x:c>
      <x:c r="E90" s="72" t="str">
        <x:f>IFERROR(IF(VLOOKUP(D90,Giocatori!$A$4:$C$73,2,FALSE)&lt;&gt;"",VLOOKUP(D90,Giocatori!$A$4:$C$73,2,FALSE),"Giocatore "&amp;D90),"Giocatore "&amp;D90)</x:f>
        <x:v>Polacco Tommaso</x:v>
      </x:c>
      <x:c r="F90" s="63" t="str"/>
      <x:c r="G90" s="63" t="str"/>
      <x:c r="H90" s="63" t="n">
        <x:v>0</x:v>
      </x:c>
      <x:c r="I90" s="72" t="str">
        <x:f>IF(OR(G90="",G90&lt;1,G90&gt;5),"",CHOOSE(G90,9,6,4,2,1)+2*IF(H90="",0,H90))</x:f>
      </x:c>
      <x:c r="J90" s="63" t="str"/>
    </x:row>
    <x:row r="91">
      <x:c r="A91" s="72" t="n">
        <x:v>2</x:v>
      </x:c>
      <x:c r="B91" s="72" t="str">
        <x:v>G</x:v>
      </x:c>
      <x:c r="C91" s="72" t="n">
        <x:v>2</x:v>
      </x:c>
      <x:c r="D91" s="72" t="n">
        <x:v>27</x:v>
      </x:c>
      <x:c r="E91" s="72" t="str">
        <x:f>IFERROR(IF(VLOOKUP(D91,Giocatori!$A$4:$C$73,2,FALSE)&lt;&gt;"",VLOOKUP(D91,Giocatori!$A$4:$C$73,2,FALSE),"Giocatore "&amp;D91),"Giocatore "&amp;D91)</x:f>
        <x:v>Napolitano Angelo</x:v>
      </x:c>
      <x:c r="F91" s="63" t="str"/>
      <x:c r="G91" s="63" t="str"/>
      <x:c r="H91" s="63" t="n">
        <x:v>0</x:v>
      </x:c>
      <x:c r="I91" s="72" t="str">
        <x:f>IF(OR(G91="",G91&lt;1,G91&gt;5),"",CHOOSE(G91,9,6,4,2,1)+2*IF(H91="",0,H91))</x:f>
      </x:c>
      <x:c r="J91" s="63" t="str"/>
    </x:row>
    <x:row r="92">
      <x:c r="A92" s="72" t="n">
        <x:v>2</x:v>
      </x:c>
      <x:c r="B92" s="72" t="str">
        <x:v>G</x:v>
      </x:c>
      <x:c r="C92" s="72" t="n">
        <x:v>3</x:v>
      </x:c>
      <x:c r="D92" s="72" t="n">
        <x:v>23</x:v>
      </x:c>
      <x:c r="E92" s="72" t="str">
        <x:f>IFERROR(IF(VLOOKUP(D92,Giocatori!$A$4:$C$73,2,FALSE)&lt;&gt;"",VLOOKUP(D92,Giocatori!$A$4:$C$73,2,FALSE),"Giocatore "&amp;D92),"Giocatore "&amp;D92)</x:f>
        <x:v>Notaro Massimo</x:v>
      </x:c>
      <x:c r="F92" s="63" t="str"/>
      <x:c r="G92" s="63" t="str"/>
      <x:c r="H92" s="63" t="n">
        <x:v>0</x:v>
      </x:c>
      <x:c r="I92" s="72" t="str">
        <x:f>IF(OR(G92="",G92&lt;1,G92&gt;5),"",CHOOSE(G92,9,6,4,2,1)+2*IF(H92="",0,H92))</x:f>
      </x:c>
      <x:c r="J92" s="63" t="str"/>
    </x:row>
    <x:row r="93">
      <x:c r="A93" s="72" t="n">
        <x:v>2</x:v>
      </x:c>
      <x:c r="B93" s="72" t="str">
        <x:v>G</x:v>
      </x:c>
      <x:c r="C93" s="72" t="n">
        <x:v>4</x:v>
      </x:c>
      <x:c r="D93" s="72" t="n">
        <x:v>19</x:v>
      </x:c>
      <x:c r="E93" s="72" t="str">
        <x:f>IFERROR(IF(VLOOKUP(D93,Giocatori!$A$4:$C$73,2,FALSE)&lt;&gt;"",VLOOKUP(D93,Giocatori!$A$4:$C$73,2,FALSE),"Giocatore "&amp;D93),"Giocatore "&amp;D93)</x:f>
        <x:v>Strocchia Franco</x:v>
      </x:c>
      <x:c r="F93" s="63" t="str"/>
      <x:c r="G93" s="63" t="str"/>
      <x:c r="H93" s="63" t="n">
        <x:v>0</x:v>
      </x:c>
      <x:c r="I93" s="72" t="str">
        <x:f>IF(OR(G93="",G93&lt;1,G93&gt;5),"",CHOOSE(G93,9,6,4,2,1)+2*IF(H93="",0,H93))</x:f>
      </x:c>
      <x:c r="J93" s="63" t="str"/>
    </x:row>
    <x:row r="94">
      <x:c r="A94" s="72" t="n">
        <x:v>2</x:v>
      </x:c>
      <x:c r="B94" s="72" t="str">
        <x:v>G</x:v>
      </x:c>
      <x:c r="C94" s="72" t="n">
        <x:v>5</x:v>
      </x:c>
      <x:c r="D94" s="72" t="n">
        <x:v>15</x:v>
      </x:c>
      <x:c r="E94" s="72" t="str">
        <x:f>IFERROR(IF(VLOOKUP(D94,Giocatori!$A$4:$C$73,2,FALSE)&lt;&gt;"",VLOOKUP(D94,Giocatori!$A$4:$C$73,2,FALSE),"Giocatore "&amp;D94),"Giocatore "&amp;D94)</x:f>
        <x:v>De Falco Andrea</x:v>
      </x:c>
      <x:c r="F94" s="63" t="str"/>
      <x:c r="G94" s="63" t="str"/>
      <x:c r="H94" s="63" t="n">
        <x:v>0</x:v>
      </x:c>
      <x:c r="I94" s="72" t="str">
        <x:f>IF(OR(G94="",G94&lt;1,G94&gt;5),"",CHOOSE(G94,9,6,4,2,1)+2*IF(H94="",0,H94))</x:f>
      </x:c>
      <x:c r="J94" s="63" t="str"/>
    </x:row>
    <x:row r="95">
      <x:c r="A95" s="72" t="n">
        <x:v>2</x:v>
      </x:c>
      <x:c r="B95" s="72" t="str">
        <x:v>H</x:v>
      </x:c>
      <x:c r="C95" s="72" t="n">
        <x:v>1</x:v>
      </x:c>
      <x:c r="D95" s="72" t="n">
        <x:v>36</x:v>
      </x:c>
      <x:c r="E95" s="72" t="str">
        <x:f>IFERROR(IF(VLOOKUP(D95,Giocatori!$A$4:$C$73,2,FALSE)&lt;&gt;"",VLOOKUP(D95,Giocatori!$A$4:$C$73,2,FALSE),"Giocatore "&amp;D95),"Giocatore "&amp;D95)</x:f>
        <x:v>Moccia Biagio</x:v>
      </x:c>
      <x:c r="F95" s="63" t="str"/>
      <x:c r="G95" s="63" t="str"/>
      <x:c r="H95" s="63" t="n">
        <x:v>0</x:v>
      </x:c>
      <x:c r="I95" s="72" t="str">
        <x:f>IF(OR(G95="",G95&lt;1,G95&gt;5),"",CHOOSE(G95,9,6,4,2,1)+2*IF(H95="",0,H95))</x:f>
      </x:c>
      <x:c r="J95" s="63" t="str"/>
    </x:row>
    <x:row r="96">
      <x:c r="A96" s="72" t="n">
        <x:v>2</x:v>
      </x:c>
      <x:c r="B96" s="72" t="str">
        <x:v>H</x:v>
      </x:c>
      <x:c r="C96" s="72" t="n">
        <x:v>2</x:v>
      </x:c>
      <x:c r="D96" s="72" t="n">
        <x:v>32</x:v>
      </x:c>
      <x:c r="E96" s="72" t="str">
        <x:f>IFERROR(IF(VLOOKUP(D96,Giocatori!$A$4:$C$73,2,FALSE)&lt;&gt;"",VLOOKUP(D96,Giocatori!$A$4:$C$73,2,FALSE),"Giocatore "&amp;D96),"Giocatore "&amp;D96)</x:f>
        <x:v>Marotta Pasquale</x:v>
      </x:c>
      <x:c r="F96" s="63" t="str"/>
      <x:c r="G96" s="63" t="str"/>
      <x:c r="H96" s="63" t="n">
        <x:v>0</x:v>
      </x:c>
      <x:c r="I96" s="72" t="str">
        <x:f>IF(OR(G96="",G96&lt;1,G96&gt;5),"",CHOOSE(G96,9,6,4,2,1)+2*IF(H96="",0,H96))</x:f>
      </x:c>
      <x:c r="J96" s="63" t="str"/>
    </x:row>
    <x:row r="97">
      <x:c r="A97" s="72" t="n">
        <x:v>2</x:v>
      </x:c>
      <x:c r="B97" s="72" t="str">
        <x:v>H</x:v>
      </x:c>
      <x:c r="C97" s="72" t="n">
        <x:v>3</x:v>
      </x:c>
      <x:c r="D97" s="72" t="n">
        <x:v>28</x:v>
      </x:c>
      <x:c r="E97" s="72" t="str">
        <x:f>IFERROR(IF(VLOOKUP(D97,Giocatori!$A$4:$C$73,2,FALSE)&lt;&gt;"",VLOOKUP(D97,Giocatori!$A$4:$C$73,2,FALSE),"Giocatore "&amp;D97),"Giocatore "&amp;D97)</x:f>
        <x:v>Fontanella Carmine</x:v>
      </x:c>
      <x:c r="F97" s="63" t="str"/>
      <x:c r="G97" s="63" t="str"/>
      <x:c r="H97" s="63" t="n">
        <x:v>0</x:v>
      </x:c>
      <x:c r="I97" s="72" t="str">
        <x:f>IF(OR(G97="",G97&lt;1,G97&gt;5),"",CHOOSE(G97,9,6,4,2,1)+2*IF(H97="",0,H97))</x:f>
      </x:c>
      <x:c r="J97" s="63" t="str"/>
    </x:row>
    <x:row r="98">
      <x:c r="A98" s="72" t="n">
        <x:v>2</x:v>
      </x:c>
      <x:c r="B98" s="72" t="str">
        <x:v>H</x:v>
      </x:c>
      <x:c r="C98" s="72" t="n">
        <x:v>4</x:v>
      </x:c>
      <x:c r="D98" s="72" t="n">
        <x:v>24</x:v>
      </x:c>
      <x:c r="E98" s="72" t="str">
        <x:f>IFERROR(IF(VLOOKUP(D98,Giocatori!$A$4:$C$73,2,FALSE)&lt;&gt;"",VLOOKUP(D98,Giocatori!$A$4:$C$73,2,FALSE),"Giocatore "&amp;D98),"Giocatore "&amp;D98)</x:f>
        <x:v>Pierro Giuseppe</x:v>
      </x:c>
      <x:c r="F98" s="63" t="str"/>
      <x:c r="G98" s="63" t="str"/>
      <x:c r="H98" s="63" t="n">
        <x:v>0</x:v>
      </x:c>
      <x:c r="I98" s="72" t="str">
        <x:f>IF(OR(G98="",G98&lt;1,G98&gt;5),"",CHOOSE(G98,9,6,4,2,1)+2*IF(H98="",0,H98))</x:f>
      </x:c>
      <x:c r="J98" s="63" t="str"/>
    </x:row>
    <x:row r="99">
      <x:c r="A99" s="72" t="n">
        <x:v>2</x:v>
      </x:c>
      <x:c r="B99" s="72" t="str">
        <x:v>H</x:v>
      </x:c>
      <x:c r="C99" s="72" t="n">
        <x:v>5</x:v>
      </x:c>
      <x:c r="D99" s="72" t="n">
        <x:v>20</x:v>
      </x:c>
      <x:c r="E99" s="72" t="str">
        <x:f>IFERROR(IF(VLOOKUP(D99,Giocatori!$A$4:$C$73,2,FALSE)&lt;&gt;"",VLOOKUP(D99,Giocatori!$A$4:$C$73,2,FALSE),"Giocatore "&amp;D99),"Giocatore "&amp;D99)</x:f>
        <x:v>Morelli Carmine</x:v>
      </x:c>
      <x:c r="F99" s="63" t="str"/>
      <x:c r="G99" s="63" t="str"/>
      <x:c r="H99" s="63" t="n">
        <x:v>0</x:v>
      </x:c>
      <x:c r="I99" s="72" t="str">
        <x:f>IF(OR(G99="",G99&lt;1,G99&gt;5),"",CHOOSE(G99,9,6,4,2,1)+2*IF(H99="",0,H99))</x:f>
      </x:c>
      <x:c r="J99" s="63" t="str"/>
    </x:row>
    <x:row r="100">
      <x:c r="A100" s="72" t="n">
        <x:v>2</x:v>
      </x:c>
      <x:c r="B100" s="72" t="str">
        <x:v>I</x:v>
      </x:c>
      <x:c r="C100" s="72" t="n">
        <x:v>1</x:v>
      </x:c>
      <x:c r="D100" s="72" t="n">
        <x:v>41</x:v>
      </x:c>
      <x:c r="E100" s="72" t="str">
        <x:f>IFERROR(IF(VLOOKUP(D100,Giocatori!$A$4:$C$73,2,FALSE)&lt;&gt;"",VLOOKUP(D100,Giocatori!$A$4:$C$73,2,FALSE),"Giocatore "&amp;D100),"Giocatore "&amp;D100)</x:f>
        <x:v>Nocerino Nunzio</x:v>
      </x:c>
      <x:c r="F100" s="63" t="str"/>
      <x:c r="G100" s="63" t="str"/>
      <x:c r="H100" s="63" t="n">
        <x:v>0</x:v>
      </x:c>
      <x:c r="I100" s="72" t="str">
        <x:f>IF(OR(G100="",G100&lt;1,G100&gt;5),"",CHOOSE(G100,9,6,4,2,1)+2*IF(H100="",0,H100))</x:f>
      </x:c>
      <x:c r="J100" s="63" t="str"/>
    </x:row>
    <x:row r="101">
      <x:c r="A101" s="72" t="n">
        <x:v>2</x:v>
      </x:c>
      <x:c r="B101" s="72" t="str">
        <x:v>I</x:v>
      </x:c>
      <x:c r="C101" s="72" t="n">
        <x:v>2</x:v>
      </x:c>
      <x:c r="D101" s="72" t="n">
        <x:v>37</x:v>
      </x:c>
      <x:c r="E101" s="72" t="str">
        <x:f>IFERROR(IF(VLOOKUP(D101,Giocatori!$A$4:$C$73,2,FALSE)&lt;&gt;"",VLOOKUP(D101,Giocatori!$A$4:$C$73,2,FALSE),"Giocatore "&amp;D101),"Giocatore "&amp;D101)</x:f>
        <x:v>Spallone Carmine</x:v>
      </x:c>
      <x:c r="F101" s="63" t="str"/>
      <x:c r="G101" s="63" t="str"/>
      <x:c r="H101" s="63" t="n">
        <x:v>0</x:v>
      </x:c>
      <x:c r="I101" s="72" t="str">
        <x:f>IF(OR(G101="",G101&lt;1,G101&gt;5),"",CHOOSE(G101,9,6,4,2,1)+2*IF(H101="",0,H101))</x:f>
      </x:c>
      <x:c r="J101" s="63" t="str"/>
    </x:row>
    <x:row r="102">
      <x:c r="A102" s="72" t="n">
        <x:v>2</x:v>
      </x:c>
      <x:c r="B102" s="72" t="str">
        <x:v>I</x:v>
      </x:c>
      <x:c r="C102" s="72" t="n">
        <x:v>3</x:v>
      </x:c>
      <x:c r="D102" s="72" t="n">
        <x:v>33</x:v>
      </x:c>
      <x:c r="E102" s="72" t="str">
        <x:f>IFERROR(IF(VLOOKUP(D102,Giocatori!$A$4:$C$73,2,FALSE)&lt;&gt;"",VLOOKUP(D102,Giocatori!$A$4:$C$73,2,FALSE),"Giocatore "&amp;D102),"Giocatore "&amp;D102)</x:f>
        <x:v>Franzese Francesco</x:v>
      </x:c>
      <x:c r="F102" s="63" t="str"/>
      <x:c r="G102" s="63" t="str"/>
      <x:c r="H102" s="63" t="n">
        <x:v>0</x:v>
      </x:c>
      <x:c r="I102" s="72" t="str">
        <x:f>IF(OR(G102="",G102&lt;1,G102&gt;5),"",CHOOSE(G102,9,6,4,2,1)+2*IF(H102="",0,H102))</x:f>
      </x:c>
      <x:c r="J102" s="63" t="str"/>
    </x:row>
    <x:row r="103">
      <x:c r="A103" s="72" t="n">
        <x:v>2</x:v>
      </x:c>
      <x:c r="B103" s="72" t="str">
        <x:v>I</x:v>
      </x:c>
      <x:c r="C103" s="72" t="n">
        <x:v>4</x:v>
      </x:c>
      <x:c r="D103" s="72" t="n">
        <x:v>29</x:v>
      </x:c>
      <x:c r="E103" s="72" t="str">
        <x:f>IFERROR(IF(VLOOKUP(D103,Giocatori!$A$4:$C$73,2,FALSE)&lt;&gt;"",VLOOKUP(D103,Giocatori!$A$4:$C$73,2,FALSE),"Giocatore "&amp;D103),"Giocatore "&amp;D103)</x:f>
        <x:v>Nappi Nestore</x:v>
      </x:c>
      <x:c r="F103" s="63" t="str"/>
      <x:c r="G103" s="63" t="str"/>
      <x:c r="H103" s="63" t="n">
        <x:v>0</x:v>
      </x:c>
      <x:c r="I103" s="72" t="str">
        <x:f>IF(OR(G103="",G103&lt;1,G103&gt;5),"",CHOOSE(G103,9,6,4,2,1)+2*IF(H103="",0,H103))</x:f>
      </x:c>
      <x:c r="J103" s="63" t="str"/>
    </x:row>
    <x:row r="104">
      <x:c r="A104" s="72" t="n">
        <x:v>2</x:v>
      </x:c>
      <x:c r="B104" s="72" t="str">
        <x:v>I</x:v>
      </x:c>
      <x:c r="C104" s="72" t="n">
        <x:v>5</x:v>
      </x:c>
      <x:c r="D104" s="72" t="n">
        <x:v>25</x:v>
      </x:c>
      <x:c r="E104" s="72" t="str">
        <x:f>IFERROR(IF(VLOOKUP(D104,Giocatori!$A$4:$C$73,2,FALSE)&lt;&gt;"",VLOOKUP(D104,Giocatori!$A$4:$C$73,2,FALSE),"Giocatore "&amp;D104),"Giocatore "&amp;D104)</x:f>
        <x:v>Giugliano Francesco</x:v>
      </x:c>
      <x:c r="F104" s="63" t="str"/>
      <x:c r="G104" s="63" t="str"/>
      <x:c r="H104" s="63" t="n">
        <x:v>0</x:v>
      </x:c>
      <x:c r="I104" s="72" t="str">
        <x:f>IF(OR(G104="",G104&lt;1,G104&gt;5),"",CHOOSE(G104,9,6,4,2,1)+2*IF(H104="",0,H104))</x:f>
      </x:c>
      <x:c r="J104" s="63" t="str"/>
    </x:row>
    <x:row r="105">
      <x:c r="A105" s="72" t="n">
        <x:v>2</x:v>
      </x:c>
      <x:c r="B105" s="72" t="str">
        <x:v>J</x:v>
      </x:c>
      <x:c r="C105" s="72" t="n">
        <x:v>1</x:v>
      </x:c>
      <x:c r="D105" s="72" t="n">
        <x:v>46</x:v>
      </x:c>
      <x:c r="E105" s="72" t="str">
        <x:f>IFERROR(IF(VLOOKUP(D105,Giocatori!$A$4:$C$73,2,FALSE)&lt;&gt;"",VLOOKUP(D105,Giocatori!$A$4:$C$73,2,FALSE),"Giocatore "&amp;D105),"Giocatore "&amp;D105)</x:f>
        <x:v>Cafarelli Manolo</x:v>
      </x:c>
      <x:c r="F105" s="63" t="str"/>
      <x:c r="G105" s="63" t="str"/>
      <x:c r="H105" s="63" t="n">
        <x:v>0</x:v>
      </x:c>
      <x:c r="I105" s="72" t="str">
        <x:f>IF(OR(G105="",G105&lt;1,G105&gt;5),"",CHOOSE(G105,9,6,4,2,1)+2*IF(H105="",0,H105))</x:f>
      </x:c>
      <x:c r="J105" s="63" t="str"/>
    </x:row>
    <x:row r="106">
      <x:c r="A106" s="72" t="n">
        <x:v>2</x:v>
      </x:c>
      <x:c r="B106" s="72" t="str">
        <x:v>J</x:v>
      </x:c>
      <x:c r="C106" s="72" t="n">
        <x:v>2</x:v>
      </x:c>
      <x:c r="D106" s="72" t="n">
        <x:v>42</x:v>
      </x:c>
      <x:c r="E106" s="72" t="str">
        <x:f>IFERROR(IF(VLOOKUP(D106,Giocatori!$A$4:$C$73,2,FALSE)&lt;&gt;"",VLOOKUP(D106,Giocatori!$A$4:$C$73,2,FALSE),"Giocatore "&amp;D106),"Giocatore "&amp;D106)</x:f>
        <x:v>Guerriero Giuseppe</x:v>
      </x:c>
      <x:c r="F106" s="63" t="str"/>
      <x:c r="G106" s="63" t="str"/>
      <x:c r="H106" s="63" t="n">
        <x:v>0</x:v>
      </x:c>
      <x:c r="I106" s="72" t="str">
        <x:f>IF(OR(G106="",G106&lt;1,G106&gt;5),"",CHOOSE(G106,9,6,4,2,1)+2*IF(H106="",0,H106))</x:f>
      </x:c>
      <x:c r="J106" s="63" t="str"/>
    </x:row>
    <x:row r="107">
      <x:c r="A107" s="72" t="n">
        <x:v>2</x:v>
      </x:c>
      <x:c r="B107" s="72" t="str">
        <x:v>J</x:v>
      </x:c>
      <x:c r="C107" s="72" t="n">
        <x:v>3</x:v>
      </x:c>
      <x:c r="D107" s="72" t="n">
        <x:v>38</x:v>
      </x:c>
      <x:c r="E107" s="72" t="str">
        <x:f>IFERROR(IF(VLOOKUP(D107,Giocatori!$A$4:$C$73,2,FALSE)&lt;&gt;"",VLOOKUP(D107,Giocatori!$A$4:$C$73,2,FALSE),"Giocatore "&amp;D107),"Giocatore "&amp;D107)</x:f>
        <x:v>Mauro Nicola</x:v>
      </x:c>
      <x:c r="F107" s="63" t="str"/>
      <x:c r="G107" s="63" t="str"/>
      <x:c r="H107" s="63" t="n">
        <x:v>0</x:v>
      </x:c>
      <x:c r="I107" s="72" t="str">
        <x:f>IF(OR(G107="",G107&lt;1,G107&gt;5),"",CHOOSE(G107,9,6,4,2,1)+2*IF(H107="",0,H107))</x:f>
      </x:c>
      <x:c r="J107" s="63" t="str"/>
    </x:row>
    <x:row r="108">
      <x:c r="A108" s="72" t="n">
        <x:v>2</x:v>
      </x:c>
      <x:c r="B108" s="72" t="str">
        <x:v>J</x:v>
      </x:c>
      <x:c r="C108" s="72" t="n">
        <x:v>4</x:v>
      </x:c>
      <x:c r="D108" s="72" t="n">
        <x:v>34</x:v>
      </x:c>
      <x:c r="E108" s="72" t="str">
        <x:f>IFERROR(IF(VLOOKUP(D108,Giocatori!$A$4:$C$73,2,FALSE)&lt;&gt;"",VLOOKUP(D108,Giocatori!$A$4:$C$73,2,FALSE),"Giocatore "&amp;D108),"Giocatore "&amp;D108)</x:f>
        <x:v>Fontanella Giuseppe</x:v>
      </x:c>
      <x:c r="F108" s="63" t="str"/>
      <x:c r="G108" s="63" t="str"/>
      <x:c r="H108" s="63" t="n">
        <x:v>0</x:v>
      </x:c>
      <x:c r="I108" s="72" t="str">
        <x:f>IF(OR(G108="",G108&lt;1,G108&gt;5),"",CHOOSE(G108,9,6,4,2,1)+2*IF(H108="",0,H108))</x:f>
      </x:c>
      <x:c r="J108" s="63" t="str"/>
    </x:row>
    <x:row r="109">
      <x:c r="A109" s="72" t="n">
        <x:v>2</x:v>
      </x:c>
      <x:c r="B109" s="72" t="str">
        <x:v>J</x:v>
      </x:c>
      <x:c r="C109" s="72" t="n">
        <x:v>5</x:v>
      </x:c>
      <x:c r="D109" s="72" t="n">
        <x:v>30</x:v>
      </x:c>
      <x:c r="E109" s="72" t="str">
        <x:f>IFERROR(IF(VLOOKUP(D109,Giocatori!$A$4:$C$73,2,FALSE)&lt;&gt;"",VLOOKUP(D109,Giocatori!$A$4:$C$73,2,FALSE),"Giocatore "&amp;D109),"Giocatore "&amp;D109)</x:f>
        <x:v>Tufano Giuseppe</x:v>
      </x:c>
      <x:c r="F109" s="63" t="str"/>
      <x:c r="G109" s="63" t="str"/>
      <x:c r="H109" s="63" t="n">
        <x:v>0</x:v>
      </x:c>
      <x:c r="I109" s="72" t="str">
        <x:f>IF(OR(G109="",G109&lt;1,G109&gt;5),"",CHOOSE(G109,9,6,4,2,1)+2*IF(H109="",0,H109))</x:f>
      </x:c>
      <x:c r="J109" s="63" t="str"/>
    </x:row>
    <x:row r="110">
      <x:c r="A110" s="72" t="n">
        <x:v>2</x:v>
      </x:c>
      <x:c r="B110" s="72" t="str">
        <x:v>K</x:v>
      </x:c>
      <x:c r="C110" s="72" t="n">
        <x:v>1</x:v>
      </x:c>
      <x:c r="D110" s="72" t="n">
        <x:v>51</x:v>
      </x:c>
      <x:c r="E110" s="72" t="str">
        <x:f>IFERROR(IF(VLOOKUP(D110,Giocatori!$A$4:$C$73,2,FALSE)&lt;&gt;"",VLOOKUP(D110,Giocatori!$A$4:$C$73,2,FALSE),"Giocatore "&amp;D110),"Giocatore "&amp;D110)</x:f>
        <x:v>Domenico</x:v>
      </x:c>
      <x:c r="F110" s="63" t="str"/>
      <x:c r="G110" s="63" t="str"/>
      <x:c r="H110" s="63" t="n">
        <x:v>0</x:v>
      </x:c>
      <x:c r="I110" s="72" t="str">
        <x:f>IF(OR(G110="",G110&lt;1,G110&gt;5),"",CHOOSE(G110,9,6,4,2,1)+2*IF(H110="",0,H110))</x:f>
      </x:c>
      <x:c r="J110" s="63" t="str"/>
    </x:row>
    <x:row r="111">
      <x:c r="A111" s="72" t="n">
        <x:v>2</x:v>
      </x:c>
      <x:c r="B111" s="72" t="str">
        <x:v>K</x:v>
      </x:c>
      <x:c r="C111" s="72" t="n">
        <x:v>2</x:v>
      </x:c>
      <x:c r="D111" s="72" t="n">
        <x:v>47</x:v>
      </x:c>
      <x:c r="E111" s="72" t="str">
        <x:f>IFERROR(IF(VLOOKUP(D111,Giocatori!$A$4:$C$73,2,FALSE)&lt;&gt;"",VLOOKUP(D111,Giocatori!$A$4:$C$73,2,FALSE),"Giocatore "&amp;D111),"Giocatore "&amp;D111)</x:f>
        <x:v>Casoria Felice</x:v>
      </x:c>
      <x:c r="F111" s="63" t="str"/>
      <x:c r="G111" s="63" t="str"/>
      <x:c r="H111" s="63" t="n">
        <x:v>0</x:v>
      </x:c>
      <x:c r="I111" s="72" t="str">
        <x:f>IF(OR(G111="",G111&lt;1,G111&gt;5),"",CHOOSE(G111,9,6,4,2,1)+2*IF(H111="",0,H111))</x:f>
      </x:c>
      <x:c r="J111" s="63" t="str"/>
    </x:row>
    <x:row r="112">
      <x:c r="A112" s="72" t="n">
        <x:v>2</x:v>
      </x:c>
      <x:c r="B112" s="72" t="str">
        <x:v>K</x:v>
      </x:c>
      <x:c r="C112" s="72" t="n">
        <x:v>3</x:v>
      </x:c>
      <x:c r="D112" s="72" t="n">
        <x:v>43</x:v>
      </x:c>
      <x:c r="E112" s="72" t="str">
        <x:f>IFERROR(IF(VLOOKUP(D112,Giocatori!$A$4:$C$73,2,FALSE)&lt;&gt;"",VLOOKUP(D112,Giocatori!$A$4:$C$73,2,FALSE),"Giocatore "&amp;D112),"Giocatore "&amp;D112)</x:f>
        <x:v>Ruotolo Sabatino</x:v>
      </x:c>
      <x:c r="F112" s="63" t="str"/>
      <x:c r="G112" s="63" t="str"/>
      <x:c r="H112" s="63" t="n">
        <x:v>0</x:v>
      </x:c>
      <x:c r="I112" s="72" t="str">
        <x:f>IF(OR(G112="",G112&lt;1,G112&gt;5),"",CHOOSE(G112,9,6,4,2,1)+2*IF(H112="",0,H112))</x:f>
      </x:c>
      <x:c r="J112" s="63" t="str"/>
    </x:row>
    <x:row r="113">
      <x:c r="A113" s="72" t="n">
        <x:v>2</x:v>
      </x:c>
      <x:c r="B113" s="72" t="str">
        <x:v>K</x:v>
      </x:c>
      <x:c r="C113" s="72" t="n">
        <x:v>4</x:v>
      </x:c>
      <x:c r="D113" s="72" t="n">
        <x:v>39</x:v>
      </x:c>
      <x:c r="E113" s="72" t="str">
        <x:f>IFERROR(IF(VLOOKUP(D113,Giocatori!$A$4:$C$73,2,FALSE)&lt;&gt;"",VLOOKUP(D113,Giocatori!$A$4:$C$73,2,FALSE),"Giocatore "&amp;D113),"Giocatore "&amp;D113)</x:f>
        <x:v>Ambrosino Lello</x:v>
      </x:c>
      <x:c r="F113" s="63" t="str"/>
      <x:c r="G113" s="63" t="str"/>
      <x:c r="H113" s="63" t="n">
        <x:v>0</x:v>
      </x:c>
      <x:c r="I113" s="72" t="str">
        <x:f>IF(OR(G113="",G113&lt;1,G113&gt;5),"",CHOOSE(G113,9,6,4,2,1)+2*IF(H113="",0,H113))</x:f>
      </x:c>
      <x:c r="J113" s="63" t="str"/>
    </x:row>
    <x:row r="114">
      <x:c r="A114" s="72" t="n">
        <x:v>2</x:v>
      </x:c>
      <x:c r="B114" s="72" t="str">
        <x:v>K</x:v>
      </x:c>
      <x:c r="C114" s="72" t="n">
        <x:v>5</x:v>
      </x:c>
      <x:c r="D114" s="72" t="n">
        <x:v>35</x:v>
      </x:c>
      <x:c r="E114" s="72" t="str">
        <x:f>IFERROR(IF(VLOOKUP(D114,Giocatori!$A$4:$C$73,2,FALSE)&lt;&gt;"",VLOOKUP(D114,Giocatori!$A$4:$C$73,2,FALSE),"Giocatore "&amp;D114),"Giocatore "&amp;D114)</x:f>
        <x:v>Panico Giuseppe</x:v>
      </x:c>
      <x:c r="F114" s="63" t="str"/>
      <x:c r="G114" s="63" t="str"/>
      <x:c r="H114" s="63" t="n">
        <x:v>0</x:v>
      </x:c>
      <x:c r="I114" s="72" t="str">
        <x:f>IF(OR(G114="",G114&lt;1,G114&gt;5),"",CHOOSE(G114,9,6,4,2,1)+2*IF(H114="",0,H114))</x:f>
      </x:c>
      <x:c r="J114" s="63" t="str"/>
    </x:row>
    <x:row r="115">
      <x:c r="A115" s="76" t="n">
        <x:v>3</x:v>
      </x:c>
      <x:c r="B115" s="76" t="str">
        <x:v>A</x:v>
      </x:c>
      <x:c r="C115" s="76" t="n">
        <x:v>1</x:v>
      </x:c>
      <x:c r="D115" s="76" t="n">
        <x:v>1</x:v>
      </x:c>
      <x:c r="E115" s="76" t="str">
        <x:f>IFERROR(IF(VLOOKUP(D115,Giocatori!$A$4:$C$73,2,FALSE)&lt;&gt;"",VLOOKUP(D115,Giocatori!$A$4:$C$73,2,FALSE),"Giocatore "&amp;D115),"Giocatore "&amp;D115)</x:f>
        <x:v>Annunziata Michele</x:v>
      </x:c>
      <x:c r="F115" s="77" t="str"/>
      <x:c r="G115" s="77" t="str"/>
      <x:c r="H115" s="77" t="n">
        <x:v>0</x:v>
      </x:c>
      <x:c r="I115" s="76" t="str">
        <x:f>IF(OR(G115="",G115&lt;1,G115&gt;5),"",CHOOSE(G115,9,6,4,2,1)+2*IF(H115="",0,H115))</x:f>
      </x:c>
      <x:c r="J115" s="77" t="str"/>
    </x:row>
    <x:row r="116">
      <x:c r="A116" s="72" t="n">
        <x:v>3</x:v>
      </x:c>
      <x:c r="B116" s="72" t="str">
        <x:v>A</x:v>
      </x:c>
      <x:c r="C116" s="72" t="n">
        <x:v>2</x:v>
      </x:c>
      <x:c r="D116" s="72" t="n">
        <x:v>47</x:v>
      </x:c>
      <x:c r="E116" s="72" t="str">
        <x:f>IFERROR(IF(VLOOKUP(D116,Giocatori!$A$4:$C$73,2,FALSE)&lt;&gt;"",VLOOKUP(D116,Giocatori!$A$4:$C$73,2,FALSE),"Giocatore "&amp;D116),"Giocatore "&amp;D116)</x:f>
        <x:v>Casoria Felice</x:v>
      </x:c>
      <x:c r="F116" s="63" t="str"/>
      <x:c r="G116" s="63" t="str"/>
      <x:c r="H116" s="63" t="n">
        <x:v>0</x:v>
      </x:c>
      <x:c r="I116" s="72" t="str">
        <x:f>IF(OR(G116="",G116&lt;1,G116&gt;5),"",CHOOSE(G116,9,6,4,2,1)+2*IF(H116="",0,H116))</x:f>
      </x:c>
      <x:c r="J116" s="63" t="str"/>
    </x:row>
    <x:row r="117">
      <x:c r="A117" s="72" t="n">
        <x:v>3</x:v>
      </x:c>
      <x:c r="B117" s="72" t="str">
        <x:v>A</x:v>
      </x:c>
      <x:c r="C117" s="72" t="n">
        <x:v>3</x:v>
      </x:c>
      <x:c r="D117" s="72" t="n">
        <x:v>38</x:v>
      </x:c>
      <x:c r="E117" s="72" t="str">
        <x:f>IFERROR(IF(VLOOKUP(D117,Giocatori!$A$4:$C$73,2,FALSE)&lt;&gt;"",VLOOKUP(D117,Giocatori!$A$4:$C$73,2,FALSE),"Giocatore "&amp;D117),"Giocatore "&amp;D117)</x:f>
        <x:v>Mauro Nicola</x:v>
      </x:c>
      <x:c r="F117" s="63" t="str"/>
      <x:c r="G117" s="63" t="str"/>
      <x:c r="H117" s="63" t="n">
        <x:v>0</x:v>
      </x:c>
      <x:c r="I117" s="72" t="str">
        <x:f>IF(OR(G117="",G117&lt;1,G117&gt;5),"",CHOOSE(G117,9,6,4,2,1)+2*IF(H117="",0,H117))</x:f>
      </x:c>
      <x:c r="J117" s="63" t="str"/>
    </x:row>
    <x:row r="118">
      <x:c r="A118" s="72" t="n">
        <x:v>3</x:v>
      </x:c>
      <x:c r="B118" s="72" t="str">
        <x:v>A</x:v>
      </x:c>
      <x:c r="C118" s="72" t="n">
        <x:v>4</x:v>
      </x:c>
      <x:c r="D118" s="72" t="n">
        <x:v>29</x:v>
      </x:c>
      <x:c r="E118" s="72" t="str">
        <x:f>IFERROR(IF(VLOOKUP(D118,Giocatori!$A$4:$C$73,2,FALSE)&lt;&gt;"",VLOOKUP(D118,Giocatori!$A$4:$C$73,2,FALSE),"Giocatore "&amp;D118),"Giocatore "&amp;D118)</x:f>
        <x:v>Nappi Nestore</x:v>
      </x:c>
      <x:c r="F118" s="63" t="str"/>
      <x:c r="G118" s="63" t="str"/>
      <x:c r="H118" s="63" t="n">
        <x:v>0</x:v>
      </x:c>
      <x:c r="I118" s="72" t="str">
        <x:f>IF(OR(G118="",G118&lt;1,G118&gt;5),"",CHOOSE(G118,9,6,4,2,1)+2*IF(H118="",0,H118))</x:f>
      </x:c>
      <x:c r="J118" s="63" t="str"/>
    </x:row>
    <x:row r="119">
      <x:c r="A119" s="72" t="n">
        <x:v>3</x:v>
      </x:c>
      <x:c r="B119" s="72" t="str">
        <x:v>A</x:v>
      </x:c>
      <x:c r="C119" s="72" t="n">
        <x:v>5</x:v>
      </x:c>
      <x:c r="D119" s="72" t="n">
        <x:v>20</x:v>
      </x:c>
      <x:c r="E119" s="72" t="str">
        <x:f>IFERROR(IF(VLOOKUP(D119,Giocatori!$A$4:$C$73,2,FALSE)&lt;&gt;"",VLOOKUP(D119,Giocatori!$A$4:$C$73,2,FALSE),"Giocatore "&amp;D119),"Giocatore "&amp;D119)</x:f>
        <x:v>Morelli Carmine</x:v>
      </x:c>
      <x:c r="F119" s="63" t="str"/>
      <x:c r="G119" s="63" t="str"/>
      <x:c r="H119" s="63" t="n">
        <x:v>0</x:v>
      </x:c>
      <x:c r="I119" s="72" t="str">
        <x:f>IF(OR(G119="",G119&lt;1,G119&gt;5),"",CHOOSE(G119,9,6,4,2,1)+2*IF(H119="",0,H119))</x:f>
      </x:c>
      <x:c r="J119" s="63" t="str"/>
    </x:row>
    <x:row r="120">
      <x:c r="A120" s="72" t="n">
        <x:v>3</x:v>
      </x:c>
      <x:c r="B120" s="72" t="str">
        <x:v>B</x:v>
      </x:c>
      <x:c r="C120" s="72" t="n">
        <x:v>1</x:v>
      </x:c>
      <x:c r="D120" s="72" t="n">
        <x:v>6</x:v>
      </x:c>
      <x:c r="E120" s="72" t="str">
        <x:f>IFERROR(IF(VLOOKUP(D120,Giocatori!$A$4:$C$73,2,FALSE)&lt;&gt;"",VLOOKUP(D120,Giocatori!$A$4:$C$73,2,FALSE),"Giocatore "&amp;D120),"Giocatore "&amp;D120)</x:f>
        <x:v>Panico Pasquale</x:v>
      </x:c>
      <x:c r="F120" s="63" t="str"/>
      <x:c r="G120" s="63" t="str"/>
      <x:c r="H120" s="63" t="n">
        <x:v>0</x:v>
      </x:c>
      <x:c r="I120" s="72" t="str">
        <x:f>IF(OR(G120="",G120&lt;1,G120&gt;5),"",CHOOSE(G120,9,6,4,2,1)+2*IF(H120="",0,H120))</x:f>
      </x:c>
      <x:c r="J120" s="63" t="str"/>
    </x:row>
    <x:row r="121">
      <x:c r="A121" s="72" t="n">
        <x:v>3</x:v>
      </x:c>
      <x:c r="B121" s="72" t="str">
        <x:v>B</x:v>
      </x:c>
      <x:c r="C121" s="72" t="n">
        <x:v>2</x:v>
      </x:c>
      <x:c r="D121" s="72" t="n">
        <x:v>52</x:v>
      </x:c>
      <x:c r="E121" s="72" t="str">
        <x:f>IFERROR(IF(VLOOKUP(D121,Giocatori!$A$4:$C$73,2,FALSE)&lt;&gt;"",VLOOKUP(D121,Giocatori!$A$4:$C$73,2,FALSE),"Giocatore "&amp;D121),"Giocatore "&amp;D121)</x:f>
        <x:v>Montanera Michele</x:v>
      </x:c>
      <x:c r="F121" s="63" t="str"/>
      <x:c r="G121" s="63" t="str"/>
      <x:c r="H121" s="63" t="n">
        <x:v>0</x:v>
      </x:c>
      <x:c r="I121" s="72" t="str">
        <x:f>IF(OR(G121="",G121&lt;1,G121&gt;5),"",CHOOSE(G121,9,6,4,2,1)+2*IF(H121="",0,H121))</x:f>
      </x:c>
      <x:c r="J121" s="63" t="str"/>
    </x:row>
    <x:row r="122">
      <x:c r="A122" s="72" t="n">
        <x:v>3</x:v>
      </x:c>
      <x:c r="B122" s="72" t="str">
        <x:v>B</x:v>
      </x:c>
      <x:c r="C122" s="72" t="n">
        <x:v>3</x:v>
      </x:c>
      <x:c r="D122" s="72" t="n">
        <x:v>43</x:v>
      </x:c>
      <x:c r="E122" s="72" t="str">
        <x:f>IFERROR(IF(VLOOKUP(D122,Giocatori!$A$4:$C$73,2,FALSE)&lt;&gt;"",VLOOKUP(D122,Giocatori!$A$4:$C$73,2,FALSE),"Giocatore "&amp;D122),"Giocatore "&amp;D122)</x:f>
        <x:v>Ruotolo Sabatino</x:v>
      </x:c>
      <x:c r="F122" s="63" t="str"/>
      <x:c r="G122" s="63" t="str"/>
      <x:c r="H122" s="63" t="n">
        <x:v>0</x:v>
      </x:c>
      <x:c r="I122" s="72" t="str">
        <x:f>IF(OR(G122="",G122&lt;1,G122&gt;5),"",CHOOSE(G122,9,6,4,2,1)+2*IF(H122="",0,H122))</x:f>
      </x:c>
      <x:c r="J122" s="63" t="str"/>
    </x:row>
    <x:row r="123">
      <x:c r="A123" s="72" t="n">
        <x:v>3</x:v>
      </x:c>
      <x:c r="B123" s="72" t="str">
        <x:v>B</x:v>
      </x:c>
      <x:c r="C123" s="72" t="n">
        <x:v>4</x:v>
      </x:c>
      <x:c r="D123" s="72" t="n">
        <x:v>34</x:v>
      </x:c>
      <x:c r="E123" s="72" t="str">
        <x:f>IFERROR(IF(VLOOKUP(D123,Giocatori!$A$4:$C$73,2,FALSE)&lt;&gt;"",VLOOKUP(D123,Giocatori!$A$4:$C$73,2,FALSE),"Giocatore "&amp;D123),"Giocatore "&amp;D123)</x:f>
        <x:v>Fontanella Giuseppe</x:v>
      </x:c>
      <x:c r="F123" s="63" t="str"/>
      <x:c r="G123" s="63" t="str"/>
      <x:c r="H123" s="63" t="n">
        <x:v>0</x:v>
      </x:c>
      <x:c r="I123" s="72" t="str">
        <x:f>IF(OR(G123="",G123&lt;1,G123&gt;5),"",CHOOSE(G123,9,6,4,2,1)+2*IF(H123="",0,H123))</x:f>
      </x:c>
      <x:c r="J123" s="63" t="str"/>
    </x:row>
    <x:row r="124">
      <x:c r="A124" s="72" t="n">
        <x:v>3</x:v>
      </x:c>
      <x:c r="B124" s="72" t="str">
        <x:v>B</x:v>
      </x:c>
      <x:c r="C124" s="72" t="n">
        <x:v>5</x:v>
      </x:c>
      <x:c r="D124" s="72" t="n">
        <x:v>25</x:v>
      </x:c>
      <x:c r="E124" s="72" t="str">
        <x:f>IFERROR(IF(VLOOKUP(D124,Giocatori!$A$4:$C$73,2,FALSE)&lt;&gt;"",VLOOKUP(D124,Giocatori!$A$4:$C$73,2,FALSE),"Giocatore "&amp;D124),"Giocatore "&amp;D124)</x:f>
        <x:v>Giugliano Francesco</x:v>
      </x:c>
      <x:c r="F124" s="63" t="str"/>
      <x:c r="G124" s="63" t="str"/>
      <x:c r="H124" s="63" t="n">
        <x:v>0</x:v>
      </x:c>
      <x:c r="I124" s="72" t="str">
        <x:f>IF(OR(G124="",G124&lt;1,G124&gt;5),"",CHOOSE(G124,9,6,4,2,1)+2*IF(H124="",0,H124))</x:f>
      </x:c>
      <x:c r="J124" s="63" t="str"/>
    </x:row>
    <x:row r="125">
      <x:c r="A125" s="72" t="n">
        <x:v>3</x:v>
      </x:c>
      <x:c r="B125" s="72" t="str">
        <x:v>C</x:v>
      </x:c>
      <x:c r="C125" s="72" t="n">
        <x:v>1</x:v>
      </x:c>
      <x:c r="D125" s="72" t="n">
        <x:v>11</x:v>
      </x:c>
      <x:c r="E125" s="72" t="str">
        <x:f>IFERROR(IF(VLOOKUP(D125,Giocatori!$A$4:$C$73,2,FALSE)&lt;&gt;"",VLOOKUP(D125,Giocatori!$A$4:$C$73,2,FALSE),"Giocatore "&amp;D125),"Giocatore "&amp;D125)</x:f>
        <x:v>Notaro Giacomo</x:v>
      </x:c>
      <x:c r="F125" s="63" t="str"/>
      <x:c r="G125" s="63" t="str"/>
      <x:c r="H125" s="63" t="n">
        <x:v>0</x:v>
      </x:c>
      <x:c r="I125" s="72" t="str">
        <x:f>IF(OR(G125="",G125&lt;1,G125&gt;5),"",CHOOSE(G125,9,6,4,2,1)+2*IF(H125="",0,H125))</x:f>
      </x:c>
      <x:c r="J125" s="63" t="str"/>
    </x:row>
    <x:row r="126">
      <x:c r="A126" s="72" t="n">
        <x:v>3</x:v>
      </x:c>
      <x:c r="B126" s="72" t="str">
        <x:v>C</x:v>
      </x:c>
      <x:c r="C126" s="72" t="n">
        <x:v>2</x:v>
      </x:c>
      <x:c r="D126" s="72" t="n">
        <x:v>2</x:v>
      </x:c>
      <x:c r="E126" s="72" t="str">
        <x:f>IFERROR(IF(VLOOKUP(D126,Giocatori!$A$4:$C$73,2,FALSE)&lt;&gt;"",VLOOKUP(D126,Giocatori!$A$4:$C$73,2,FALSE),"Giocatore "&amp;D126),"Giocatore "&amp;D126)</x:f>
        <x:v>La Marca Carlo</x:v>
      </x:c>
      <x:c r="F126" s="63" t="str"/>
      <x:c r="G126" s="63" t="str"/>
      <x:c r="H126" s="63" t="n">
        <x:v>0</x:v>
      </x:c>
      <x:c r="I126" s="72" t="str">
        <x:f>IF(OR(G126="",G126&lt;1,G126&gt;5),"",CHOOSE(G126,9,6,4,2,1)+2*IF(H126="",0,H126))</x:f>
      </x:c>
      <x:c r="J126" s="63" t="str"/>
    </x:row>
    <x:row r="127">
      <x:c r="A127" s="72" t="n">
        <x:v>3</x:v>
      </x:c>
      <x:c r="B127" s="72" t="str">
        <x:v>C</x:v>
      </x:c>
      <x:c r="C127" s="72" t="n">
        <x:v>3</x:v>
      </x:c>
      <x:c r="D127" s="72" t="n">
        <x:v>48</x:v>
      </x:c>
      <x:c r="E127" s="72" t="str">
        <x:f>IFERROR(IF(VLOOKUP(D127,Giocatori!$A$4:$C$73,2,FALSE)&lt;&gt;"",VLOOKUP(D127,Giocatori!$A$4:$C$73,2,FALSE),"Giocatore "&amp;D127),"Giocatore "&amp;D127)</x:f>
        <x:v>Nspolitano Carlo</x:v>
      </x:c>
      <x:c r="F127" s="63" t="str"/>
      <x:c r="G127" s="63" t="str"/>
      <x:c r="H127" s="63" t="n">
        <x:v>0</x:v>
      </x:c>
      <x:c r="I127" s="72" t="str">
        <x:f>IF(OR(G127="",G127&lt;1,G127&gt;5),"",CHOOSE(G127,9,6,4,2,1)+2*IF(H127="",0,H127))</x:f>
      </x:c>
      <x:c r="J127" s="63" t="str"/>
    </x:row>
    <x:row r="128">
      <x:c r="A128" s="72" t="n">
        <x:v>3</x:v>
      </x:c>
      <x:c r="B128" s="72" t="str">
        <x:v>C</x:v>
      </x:c>
      <x:c r="C128" s="72" t="n">
        <x:v>4</x:v>
      </x:c>
      <x:c r="D128" s="72" t="n">
        <x:v>39</x:v>
      </x:c>
      <x:c r="E128" s="72" t="str">
        <x:f>IFERROR(IF(VLOOKUP(D128,Giocatori!$A$4:$C$73,2,FALSE)&lt;&gt;"",VLOOKUP(D128,Giocatori!$A$4:$C$73,2,FALSE),"Giocatore "&amp;D128),"Giocatore "&amp;D128)</x:f>
        <x:v>Ambrosino Lello</x:v>
      </x:c>
      <x:c r="F128" s="63" t="str"/>
      <x:c r="G128" s="63" t="str"/>
      <x:c r="H128" s="63" t="n">
        <x:v>0</x:v>
      </x:c>
      <x:c r="I128" s="72" t="str">
        <x:f>IF(OR(G128="",G128&lt;1,G128&gt;5),"",CHOOSE(G128,9,6,4,2,1)+2*IF(H128="",0,H128))</x:f>
      </x:c>
      <x:c r="J128" s="63" t="str"/>
    </x:row>
    <x:row r="129">
      <x:c r="A129" s="72" t="n">
        <x:v>3</x:v>
      </x:c>
      <x:c r="B129" s="72" t="str">
        <x:v>C</x:v>
      </x:c>
      <x:c r="C129" s="72" t="n">
        <x:v>5</x:v>
      </x:c>
      <x:c r="D129" s="72" t="n">
        <x:v>30</x:v>
      </x:c>
      <x:c r="E129" s="72" t="str">
        <x:f>IFERROR(IF(VLOOKUP(D129,Giocatori!$A$4:$C$73,2,FALSE)&lt;&gt;"",VLOOKUP(D129,Giocatori!$A$4:$C$73,2,FALSE),"Giocatore "&amp;D129),"Giocatore "&amp;D129)</x:f>
        <x:v>Tufano Giuseppe</x:v>
      </x:c>
      <x:c r="F129" s="63" t="str"/>
      <x:c r="G129" s="63" t="str"/>
      <x:c r="H129" s="63" t="n">
        <x:v>0</x:v>
      </x:c>
      <x:c r="I129" s="72" t="str">
        <x:f>IF(OR(G129="",G129&lt;1,G129&gt;5),"",CHOOSE(G129,9,6,4,2,1)+2*IF(H129="",0,H129))</x:f>
      </x:c>
      <x:c r="J129" s="63" t="str"/>
    </x:row>
    <x:row r="130">
      <x:c r="A130" s="72" t="n">
        <x:v>3</x:v>
      </x:c>
      <x:c r="B130" s="72" t="str">
        <x:v>D</x:v>
      </x:c>
      <x:c r="C130" s="72" t="n">
        <x:v>1</x:v>
      </x:c>
      <x:c r="D130" s="72" t="n">
        <x:v>16</x:v>
      </x:c>
      <x:c r="E130" s="72" t="str">
        <x:f>IFERROR(IF(VLOOKUP(D130,Giocatori!$A$4:$C$73,2,FALSE)&lt;&gt;"",VLOOKUP(D130,Giocatori!$A$4:$C$73,2,FALSE),"Giocatore "&amp;D130),"Giocatore "&amp;D130)</x:f>
        <x:v>Beracci Benedetto</x:v>
      </x:c>
      <x:c r="F130" s="63" t="str"/>
      <x:c r="G130" s="63" t="str"/>
      <x:c r="H130" s="63" t="n">
        <x:v>0</x:v>
      </x:c>
      <x:c r="I130" s="72" t="str">
        <x:f>IF(OR(G130="",G130&lt;1,G130&gt;5),"",CHOOSE(G130,9,6,4,2,1)+2*IF(H130="",0,H130))</x:f>
      </x:c>
      <x:c r="J130" s="63" t="str"/>
    </x:row>
    <x:row r="131">
      <x:c r="A131" s="72" t="n">
        <x:v>3</x:v>
      </x:c>
      <x:c r="B131" s="72" t="str">
        <x:v>D</x:v>
      </x:c>
      <x:c r="C131" s="72" t="n">
        <x:v>2</x:v>
      </x:c>
      <x:c r="D131" s="72" t="n">
        <x:v>7</x:v>
      </x:c>
      <x:c r="E131" s="72" t="str">
        <x:f>IFERROR(IF(VLOOKUP(D131,Giocatori!$A$4:$C$73,2,FALSE)&lt;&gt;"",VLOOKUP(D131,Giocatori!$A$4:$C$73,2,FALSE),"Giocatore "&amp;D131),"Giocatore "&amp;D131)</x:f>
        <x:v>Ambrosino Michele</x:v>
      </x:c>
      <x:c r="F131" s="63" t="str"/>
      <x:c r="G131" s="63" t="str"/>
      <x:c r="H131" s="63" t="n">
        <x:v>0</x:v>
      </x:c>
      <x:c r="I131" s="72" t="str">
        <x:f>IF(OR(G131="",G131&lt;1,G131&gt;5),"",CHOOSE(G131,9,6,4,2,1)+2*IF(H131="",0,H131))</x:f>
      </x:c>
      <x:c r="J131" s="63" t="str"/>
    </x:row>
    <x:row r="132">
      <x:c r="A132" s="72" t="n">
        <x:v>3</x:v>
      </x:c>
      <x:c r="B132" s="72" t="str">
        <x:v>D</x:v>
      </x:c>
      <x:c r="C132" s="72" t="n">
        <x:v>3</x:v>
      </x:c>
      <x:c r="D132" s="72" t="n">
        <x:v>53</x:v>
      </x:c>
      <x:c r="E132" s="72" t="str">
        <x:f>IFERROR(IF(VLOOKUP(D132,Giocatori!$A$4:$C$73,2,FALSE)&lt;&gt;"",VLOOKUP(D132,Giocatori!$A$4:$C$73,2,FALSE),"Giocatore "&amp;D132),"Giocatore "&amp;D132)</x:f>
        <x:v>Gaita Rossano</x:v>
      </x:c>
      <x:c r="F132" s="63" t="str"/>
      <x:c r="G132" s="63" t="str"/>
      <x:c r="H132" s="63" t="n">
        <x:v>0</x:v>
      </x:c>
      <x:c r="I132" s="72" t="str">
        <x:f>IF(OR(G132="",G132&lt;1,G132&gt;5),"",CHOOSE(G132,9,6,4,2,1)+2*IF(H132="",0,H132))</x:f>
      </x:c>
      <x:c r="J132" s="63" t="str"/>
    </x:row>
    <x:row r="133">
      <x:c r="A133" s="72" t="n">
        <x:v>3</x:v>
      </x:c>
      <x:c r="B133" s="72" t="str">
        <x:v>D</x:v>
      </x:c>
      <x:c r="C133" s="72" t="n">
        <x:v>4</x:v>
      </x:c>
      <x:c r="D133" s="72" t="n">
        <x:v>44</x:v>
      </x:c>
      <x:c r="E133" s="72" t="str">
        <x:f>IFERROR(IF(VLOOKUP(D133,Giocatori!$A$4:$C$73,2,FALSE)&lt;&gt;"",VLOOKUP(D133,Giocatori!$A$4:$C$73,2,FALSE),"Giocatore "&amp;D133),"Giocatore "&amp;D133)</x:f>
        <x:v>Abbate Michele</x:v>
      </x:c>
      <x:c r="F133" s="63" t="str"/>
      <x:c r="G133" s="63" t="str"/>
      <x:c r="H133" s="63" t="n">
        <x:v>0</x:v>
      </x:c>
      <x:c r="I133" s="72" t="str">
        <x:f>IF(OR(G133="",G133&lt;1,G133&gt;5),"",CHOOSE(G133,9,6,4,2,1)+2*IF(H133="",0,H133))</x:f>
      </x:c>
      <x:c r="J133" s="63" t="str"/>
    </x:row>
    <x:row r="134">
      <x:c r="A134" s="72" t="n">
        <x:v>3</x:v>
      </x:c>
      <x:c r="B134" s="72" t="str">
        <x:v>D</x:v>
      </x:c>
      <x:c r="C134" s="72" t="n">
        <x:v>5</x:v>
      </x:c>
      <x:c r="D134" s="72" t="n">
        <x:v>35</x:v>
      </x:c>
      <x:c r="E134" s="72" t="str">
        <x:f>IFERROR(IF(VLOOKUP(D134,Giocatori!$A$4:$C$73,2,FALSE)&lt;&gt;"",VLOOKUP(D134,Giocatori!$A$4:$C$73,2,FALSE),"Giocatore "&amp;D134),"Giocatore "&amp;D134)</x:f>
        <x:v>Panico Giuseppe</x:v>
      </x:c>
      <x:c r="F134" s="63" t="str"/>
      <x:c r="G134" s="63" t="str"/>
      <x:c r="H134" s="63" t="n">
        <x:v>0</x:v>
      </x:c>
      <x:c r="I134" s="72" t="str">
        <x:f>IF(OR(G134="",G134&lt;1,G134&gt;5),"",CHOOSE(G134,9,6,4,2,1)+2*IF(H134="",0,H134))</x:f>
      </x:c>
      <x:c r="J134" s="63" t="str"/>
    </x:row>
    <x:row r="135">
      <x:c r="A135" s="72" t="n">
        <x:v>3</x:v>
      </x:c>
      <x:c r="B135" s="72" t="str">
        <x:v>E</x:v>
      </x:c>
      <x:c r="C135" s="72" t="n">
        <x:v>1</x:v>
      </x:c>
      <x:c r="D135" s="72" t="n">
        <x:v>21</x:v>
      </x:c>
      <x:c r="E135" s="72" t="str">
        <x:f>IFERROR(IF(VLOOKUP(D135,Giocatori!$A$4:$C$73,2,FALSE)&lt;&gt;"",VLOOKUP(D135,Giocatori!$A$4:$C$73,2,FALSE),"Giocatore "&amp;D135),"Giocatore "&amp;D135)</x:f>
        <x:v>Tufano Raffaele</x:v>
      </x:c>
      <x:c r="F135" s="63" t="str"/>
      <x:c r="G135" s="63" t="str"/>
      <x:c r="H135" s="63" t="n">
        <x:v>0</x:v>
      </x:c>
      <x:c r="I135" s="72" t="str">
        <x:f>IF(OR(G135="",G135&lt;1,G135&gt;5),"",CHOOSE(G135,9,6,4,2,1)+2*IF(H135="",0,H135))</x:f>
      </x:c>
      <x:c r="J135" s="63" t="str"/>
    </x:row>
    <x:row r="136">
      <x:c r="A136" s="72" t="n">
        <x:v>3</x:v>
      </x:c>
      <x:c r="B136" s="72" t="str">
        <x:v>E</x:v>
      </x:c>
      <x:c r="C136" s="72" t="n">
        <x:v>2</x:v>
      </x:c>
      <x:c r="D136" s="72" t="n">
        <x:v>12</x:v>
      </x:c>
      <x:c r="E136" s="72" t="str">
        <x:f>IFERROR(IF(VLOOKUP(D136,Giocatori!$A$4:$C$73,2,FALSE)&lt;&gt;"",VLOOKUP(D136,Giocatori!$A$4:$C$73,2,FALSE),"Giocatore "&amp;D136),"Giocatore "&amp;D136)</x:f>
        <x:v>Scognamiglio Alfredo</x:v>
      </x:c>
      <x:c r="F136" s="63" t="str"/>
      <x:c r="G136" s="63" t="str"/>
      <x:c r="H136" s="63" t="n">
        <x:v>0</x:v>
      </x:c>
      <x:c r="I136" s="72" t="str">
        <x:f>IF(OR(G136="",G136&lt;1,G136&gt;5),"",CHOOSE(G136,9,6,4,2,1)+2*IF(H136="",0,H136))</x:f>
      </x:c>
      <x:c r="J136" s="63" t="str"/>
    </x:row>
    <x:row r="137">
      <x:c r="A137" s="72" t="n">
        <x:v>3</x:v>
      </x:c>
      <x:c r="B137" s="72" t="str">
        <x:v>E</x:v>
      </x:c>
      <x:c r="C137" s="72" t="n">
        <x:v>3</x:v>
      </x:c>
      <x:c r="D137" s="72" t="n">
        <x:v>3</x:v>
      </x:c>
      <x:c r="E137" s="72" t="str">
        <x:f>IFERROR(IF(VLOOKUP(D137,Giocatori!$A$4:$C$73,2,FALSE)&lt;&gt;"",VLOOKUP(D137,Giocatori!$A$4:$C$73,2,FALSE),"Giocatore "&amp;D137),"Giocatore "&amp;D137)</x:f>
        <x:v>Sommese Antonio</x:v>
      </x:c>
      <x:c r="F137" s="63" t="str"/>
      <x:c r="G137" s="63" t="str"/>
      <x:c r="H137" s="63" t="n">
        <x:v>0</x:v>
      </x:c>
      <x:c r="I137" s="72" t="str">
        <x:f>IF(OR(G137="",G137&lt;1,G137&gt;5),"",CHOOSE(G137,9,6,4,2,1)+2*IF(H137="",0,H137))</x:f>
      </x:c>
      <x:c r="J137" s="63" t="str"/>
    </x:row>
    <x:row r="138">
      <x:c r="A138" s="72" t="n">
        <x:v>3</x:v>
      </x:c>
      <x:c r="B138" s="72" t="str">
        <x:v>E</x:v>
      </x:c>
      <x:c r="C138" s="72" t="n">
        <x:v>4</x:v>
      </x:c>
      <x:c r="D138" s="72" t="n">
        <x:v>49</x:v>
      </x:c>
      <x:c r="E138" s="72" t="str">
        <x:f>IFERROR(IF(VLOOKUP(D138,Giocatori!$A$4:$C$73,2,FALSE)&lt;&gt;"",VLOOKUP(D138,Giocatori!$A$4:$C$73,2,FALSE),"Giocatore "&amp;D138),"Giocatore "&amp;D138)</x:f>
        <x:v>Tufano Michele</x:v>
      </x:c>
      <x:c r="F138" s="63" t="str"/>
      <x:c r="G138" s="63" t="str"/>
      <x:c r="H138" s="63" t="n">
        <x:v>0</x:v>
      </x:c>
      <x:c r="I138" s="72" t="str">
        <x:f>IF(OR(G138="",G138&lt;1,G138&gt;5),"",CHOOSE(G138,9,6,4,2,1)+2*IF(H138="",0,H138))</x:f>
      </x:c>
      <x:c r="J138" s="63" t="str"/>
    </x:row>
    <x:row r="139">
      <x:c r="A139" s="72" t="n">
        <x:v>3</x:v>
      </x:c>
      <x:c r="B139" s="72" t="str">
        <x:v>E</x:v>
      </x:c>
      <x:c r="C139" s="72" t="n">
        <x:v>5</x:v>
      </x:c>
      <x:c r="D139" s="72" t="n">
        <x:v>40</x:v>
      </x:c>
      <x:c r="E139" s="72" t="str">
        <x:f>IFERROR(IF(VLOOKUP(D139,Giocatori!$A$4:$C$73,2,FALSE)&lt;&gt;"",VLOOKUP(D139,Giocatori!$A$4:$C$73,2,FALSE),"Giocatore "&amp;D139),"Giocatore "&amp;D139)</x:f>
        <x:v>Carbone Felice</x:v>
      </x:c>
      <x:c r="F139" s="63" t="str"/>
      <x:c r="G139" s="63" t="str"/>
      <x:c r="H139" s="63" t="n">
        <x:v>0</x:v>
      </x:c>
      <x:c r="I139" s="72" t="str">
        <x:f>IF(OR(G139="",G139&lt;1,G139&gt;5),"",CHOOSE(G139,9,6,4,2,1)+2*IF(H139="",0,H139))</x:f>
      </x:c>
      <x:c r="J139" s="63" t="str"/>
    </x:row>
    <x:row r="140">
      <x:c r="A140" s="72" t="n">
        <x:v>3</x:v>
      </x:c>
      <x:c r="B140" s="72" t="str">
        <x:v>F</x:v>
      </x:c>
      <x:c r="C140" s="72" t="n">
        <x:v>1</x:v>
      </x:c>
      <x:c r="D140" s="72" t="n">
        <x:v>26</x:v>
      </x:c>
      <x:c r="E140" s="72" t="str">
        <x:f>IFERROR(IF(VLOOKUP(D140,Giocatori!$A$4:$C$73,2,FALSE)&lt;&gt;"",VLOOKUP(D140,Giocatori!$A$4:$C$73,2,FALSE),"Giocatore "&amp;D140),"Giocatore "&amp;D140)</x:f>
        <x:v>Gesso Marco</x:v>
      </x:c>
      <x:c r="F140" s="63" t="str"/>
      <x:c r="G140" s="63" t="str"/>
      <x:c r="H140" s="63" t="n">
        <x:v>0</x:v>
      </x:c>
      <x:c r="I140" s="72" t="str">
        <x:f>IF(OR(G140="",G140&lt;1,G140&gt;5),"",CHOOSE(G140,9,6,4,2,1)+2*IF(H140="",0,H140))</x:f>
      </x:c>
      <x:c r="J140" s="63" t="str"/>
    </x:row>
    <x:row r="141">
      <x:c r="A141" s="72" t="n">
        <x:v>3</x:v>
      </x:c>
      <x:c r="B141" s="72" t="str">
        <x:v>F</x:v>
      </x:c>
      <x:c r="C141" s="72" t="n">
        <x:v>2</x:v>
      </x:c>
      <x:c r="D141" s="72" t="n">
        <x:v>17</x:v>
      </x:c>
      <x:c r="E141" s="72" t="str">
        <x:f>IFERROR(IF(VLOOKUP(D141,Giocatori!$A$4:$C$73,2,FALSE)&lt;&gt;"",VLOOKUP(D141,Giocatori!$A$4:$C$73,2,FALSE),"Giocatore "&amp;D141),"Giocatore "&amp;D141)</x:f>
        <x:v>Tufano Giovanni</x:v>
      </x:c>
      <x:c r="F141" s="63" t="str"/>
      <x:c r="G141" s="63" t="str"/>
      <x:c r="H141" s="63" t="n">
        <x:v>0</x:v>
      </x:c>
      <x:c r="I141" s="72" t="str">
        <x:f>IF(OR(G141="",G141&lt;1,G141&gt;5),"",CHOOSE(G141,9,6,4,2,1)+2*IF(H141="",0,H141))</x:f>
      </x:c>
      <x:c r="J141" s="63" t="str"/>
    </x:row>
    <x:row r="142">
      <x:c r="A142" s="72" t="n">
        <x:v>3</x:v>
      </x:c>
      <x:c r="B142" s="72" t="str">
        <x:v>F</x:v>
      </x:c>
      <x:c r="C142" s="72" t="n">
        <x:v>3</x:v>
      </x:c>
      <x:c r="D142" s="72" t="n">
        <x:v>8</x:v>
      </x:c>
      <x:c r="E142" s="72" t="str">
        <x:f>IFERROR(IF(VLOOKUP(D142,Giocatori!$A$4:$C$73,2,FALSE)&lt;&gt;"",VLOOKUP(D142,Giocatori!$A$4:$C$73,2,FALSE),"Giocatore "&amp;D142),"Giocatore "&amp;D142)</x:f>
        <x:v>Ambrosino Raffaele</x:v>
      </x:c>
      <x:c r="F142" s="63" t="str"/>
      <x:c r="G142" s="63" t="str"/>
      <x:c r="H142" s="63" t="n">
        <x:v>0</x:v>
      </x:c>
      <x:c r="I142" s="72" t="str">
        <x:f>IF(OR(G142="",G142&lt;1,G142&gt;5),"",CHOOSE(G142,9,6,4,2,1)+2*IF(H142="",0,H142))</x:f>
      </x:c>
      <x:c r="J142" s="63" t="str"/>
    </x:row>
    <x:row r="143">
      <x:c r="A143" s="72" t="n">
        <x:v>3</x:v>
      </x:c>
      <x:c r="B143" s="72" t="str">
        <x:v>F</x:v>
      </x:c>
      <x:c r="C143" s="72" t="n">
        <x:v>4</x:v>
      </x:c>
      <x:c r="D143" s="72" t="n">
        <x:v>54</x:v>
      </x:c>
      <x:c r="E143" s="72" t="str">
        <x:f>IFERROR(IF(VLOOKUP(D143,Giocatori!$A$4:$C$73,2,FALSE)&lt;&gt;"",VLOOKUP(D143,Giocatori!$A$4:$C$73,2,FALSE),"Giocatore "&amp;D143),"Giocatore "&amp;D143)</x:f>
        <x:v>Giugliano Domenico</x:v>
      </x:c>
      <x:c r="F143" s="63" t="str"/>
      <x:c r="G143" s="63" t="str"/>
      <x:c r="H143" s="63" t="n">
        <x:v>0</x:v>
      </x:c>
      <x:c r="I143" s="72" t="str">
        <x:f>IF(OR(G143="",G143&lt;1,G143&gt;5),"",CHOOSE(G143,9,6,4,2,1)+2*IF(H143="",0,H143))</x:f>
      </x:c>
      <x:c r="J143" s="63" t="str"/>
    </x:row>
    <x:row r="144">
      <x:c r="A144" s="72" t="n">
        <x:v>3</x:v>
      </x:c>
      <x:c r="B144" s="72" t="str">
        <x:v>F</x:v>
      </x:c>
      <x:c r="C144" s="72" t="n">
        <x:v>5</x:v>
      </x:c>
      <x:c r="D144" s="72" t="n">
        <x:v>45</x:v>
      </x:c>
      <x:c r="E144" s="72" t="str">
        <x:f>IFERROR(IF(VLOOKUP(D144,Giocatori!$A$4:$C$73,2,FALSE)&lt;&gt;"",VLOOKUP(D144,Giocatori!$A$4:$C$73,2,FALSE),"Giocatore "&amp;D144),"Giocatore "&amp;D144)</x:f>
        <x:v>Isernia Antonio</x:v>
      </x:c>
      <x:c r="F144" s="63" t="str"/>
      <x:c r="G144" s="63" t="str"/>
      <x:c r="H144" s="63" t="n">
        <x:v>0</x:v>
      </x:c>
      <x:c r="I144" s="72" t="str">
        <x:f>IF(OR(G144="",G144&lt;1,G144&gt;5),"",CHOOSE(G144,9,6,4,2,1)+2*IF(H144="",0,H144))</x:f>
      </x:c>
      <x:c r="J144" s="63" t="str"/>
    </x:row>
    <x:row r="145">
      <x:c r="A145" s="72" t="n">
        <x:v>3</x:v>
      </x:c>
      <x:c r="B145" s="72" t="str">
        <x:v>G</x:v>
      </x:c>
      <x:c r="C145" s="72" t="n">
        <x:v>1</x:v>
      </x:c>
      <x:c r="D145" s="72" t="n">
        <x:v>31</x:v>
      </x:c>
      <x:c r="E145" s="72" t="str">
        <x:f>IFERROR(IF(VLOOKUP(D145,Giocatori!$A$4:$C$73,2,FALSE)&lt;&gt;"",VLOOKUP(D145,Giocatori!$A$4:$C$73,2,FALSE),"Giocatore "&amp;D145),"Giocatore "&amp;D145)</x:f>
        <x:v>Polacco Tommaso</x:v>
      </x:c>
      <x:c r="F145" s="63" t="str"/>
      <x:c r="G145" s="63" t="str"/>
      <x:c r="H145" s="63" t="n">
        <x:v>0</x:v>
      </x:c>
      <x:c r="I145" s="72" t="str">
        <x:f>IF(OR(G145="",G145&lt;1,G145&gt;5),"",CHOOSE(G145,9,6,4,2,1)+2*IF(H145="",0,H145))</x:f>
      </x:c>
      <x:c r="J145" s="63" t="str"/>
    </x:row>
    <x:row r="146">
      <x:c r="A146" s="72" t="n">
        <x:v>3</x:v>
      </x:c>
      <x:c r="B146" s="72" t="str">
        <x:v>G</x:v>
      </x:c>
      <x:c r="C146" s="72" t="n">
        <x:v>2</x:v>
      </x:c>
      <x:c r="D146" s="72" t="n">
        <x:v>22</x:v>
      </x:c>
      <x:c r="E146" s="72" t="str">
        <x:f>IFERROR(IF(VLOOKUP(D146,Giocatori!$A$4:$C$73,2,FALSE)&lt;&gt;"",VLOOKUP(D146,Giocatori!$A$4:$C$73,2,FALSE),"Giocatore "&amp;D146),"Giocatore "&amp;D146)</x:f>
        <x:v>Napolitano Antonio</x:v>
      </x:c>
      <x:c r="F146" s="63" t="str"/>
      <x:c r="G146" s="63" t="str"/>
      <x:c r="H146" s="63" t="n">
        <x:v>0</x:v>
      </x:c>
      <x:c r="I146" s="72" t="str">
        <x:f>IF(OR(G146="",G146&lt;1,G146&gt;5),"",CHOOSE(G146,9,6,4,2,1)+2*IF(H146="",0,H146))</x:f>
      </x:c>
      <x:c r="J146" s="63" t="str"/>
    </x:row>
    <x:row r="147">
      <x:c r="A147" s="72" t="n">
        <x:v>3</x:v>
      </x:c>
      <x:c r="B147" s="72" t="str">
        <x:v>G</x:v>
      </x:c>
      <x:c r="C147" s="72" t="n">
        <x:v>3</x:v>
      </x:c>
      <x:c r="D147" s="72" t="n">
        <x:v>13</x:v>
      </x:c>
      <x:c r="E147" s="72" t="str">
        <x:f>IFERROR(IF(VLOOKUP(D147,Giocatori!$A$4:$C$73,2,FALSE)&lt;&gt;"",VLOOKUP(D147,Giocatori!$A$4:$C$73,2,FALSE),"Giocatore "&amp;D147),"Giocatore "&amp;D147)</x:f>
        <x:v>Del Vecchio Diego</x:v>
      </x:c>
      <x:c r="F147" s="63" t="str"/>
      <x:c r="G147" s="63" t="str"/>
      <x:c r="H147" s="63" t="n">
        <x:v>0</x:v>
      </x:c>
      <x:c r="I147" s="72" t="str">
        <x:f>IF(OR(G147="",G147&lt;1,G147&gt;5),"",CHOOSE(G147,9,6,4,2,1)+2*IF(H147="",0,H147))</x:f>
      </x:c>
      <x:c r="J147" s="63" t="str"/>
    </x:row>
    <x:row r="148">
      <x:c r="A148" s="72" t="n">
        <x:v>3</x:v>
      </x:c>
      <x:c r="B148" s="72" t="str">
        <x:v>G</x:v>
      </x:c>
      <x:c r="C148" s="72" t="n">
        <x:v>4</x:v>
      </x:c>
      <x:c r="D148" s="72" t="n">
        <x:v>4</x:v>
      </x:c>
      <x:c r="E148" s="72" t="str">
        <x:f>IFERROR(IF(VLOOKUP(D148,Giocatori!$A$4:$C$73,2,FALSE)&lt;&gt;"",VLOOKUP(D148,Giocatori!$A$4:$C$73,2,FALSE),"Giocatore "&amp;D148),"Giocatore "&amp;D148)</x:f>
        <x:v>Annunziata Raffaele</x:v>
      </x:c>
      <x:c r="F148" s="63" t="str"/>
      <x:c r="G148" s="63" t="str"/>
      <x:c r="H148" s="63" t="n">
        <x:v>0</x:v>
      </x:c>
      <x:c r="I148" s="72" t="str">
        <x:f>IF(OR(G148="",G148&lt;1,G148&gt;5),"",CHOOSE(G148,9,6,4,2,1)+2*IF(H148="",0,H148))</x:f>
      </x:c>
      <x:c r="J148" s="63" t="str"/>
    </x:row>
    <x:row r="149">
      <x:c r="A149" s="72" t="n">
        <x:v>3</x:v>
      </x:c>
      <x:c r="B149" s="72" t="str">
        <x:v>G</x:v>
      </x:c>
      <x:c r="C149" s="72" t="n">
        <x:v>5</x:v>
      </x:c>
      <x:c r="D149" s="72" t="n">
        <x:v>50</x:v>
      </x:c>
      <x:c r="E149" s="72" t="str">
        <x:f>IFERROR(IF(VLOOKUP(D149,Giocatori!$A$4:$C$73,2,FALSE)&lt;&gt;"",VLOOKUP(D149,Giocatori!$A$4:$C$73,2,FALSE),"Giocatore "&amp;D149),"Giocatore "&amp;D149)</x:f>
        <x:v>Bartolo</x:v>
      </x:c>
      <x:c r="F149" s="63" t="str"/>
      <x:c r="G149" s="63" t="str"/>
      <x:c r="H149" s="63" t="n">
        <x:v>0</x:v>
      </x:c>
      <x:c r="I149" s="72" t="str">
        <x:f>IF(OR(G149="",G149&lt;1,G149&gt;5),"",CHOOSE(G149,9,6,4,2,1)+2*IF(H149="",0,H149))</x:f>
      </x:c>
      <x:c r="J149" s="63" t="str"/>
    </x:row>
    <x:row r="150">
      <x:c r="A150" s="72" t="n">
        <x:v>3</x:v>
      </x:c>
      <x:c r="B150" s="72" t="str">
        <x:v>H</x:v>
      </x:c>
      <x:c r="C150" s="72" t="n">
        <x:v>1</x:v>
      </x:c>
      <x:c r="D150" s="72" t="n">
        <x:v>36</x:v>
      </x:c>
      <x:c r="E150" s="72" t="str">
        <x:f>IFERROR(IF(VLOOKUP(D150,Giocatori!$A$4:$C$73,2,FALSE)&lt;&gt;"",VLOOKUP(D150,Giocatori!$A$4:$C$73,2,FALSE),"Giocatore "&amp;D150),"Giocatore "&amp;D150)</x:f>
        <x:v>Moccia Biagio</x:v>
      </x:c>
      <x:c r="F150" s="63" t="str"/>
      <x:c r="G150" s="63" t="str"/>
      <x:c r="H150" s="63" t="n">
        <x:v>0</x:v>
      </x:c>
      <x:c r="I150" s="72" t="str">
        <x:f>IF(OR(G150="",G150&lt;1,G150&gt;5),"",CHOOSE(G150,9,6,4,2,1)+2*IF(H150="",0,H150))</x:f>
      </x:c>
      <x:c r="J150" s="63" t="str"/>
    </x:row>
    <x:row r="151">
      <x:c r="A151" s="72" t="n">
        <x:v>3</x:v>
      </x:c>
      <x:c r="B151" s="72" t="str">
        <x:v>H</x:v>
      </x:c>
      <x:c r="C151" s="72" t="n">
        <x:v>2</x:v>
      </x:c>
      <x:c r="D151" s="72" t="n">
        <x:v>27</x:v>
      </x:c>
      <x:c r="E151" s="72" t="str">
        <x:f>IFERROR(IF(VLOOKUP(D151,Giocatori!$A$4:$C$73,2,FALSE)&lt;&gt;"",VLOOKUP(D151,Giocatori!$A$4:$C$73,2,FALSE),"Giocatore "&amp;D151),"Giocatore "&amp;D151)</x:f>
        <x:v>Napolitano Angelo</x:v>
      </x:c>
      <x:c r="F151" s="63" t="str"/>
      <x:c r="G151" s="63" t="str"/>
      <x:c r="H151" s="63" t="n">
        <x:v>0</x:v>
      </x:c>
      <x:c r="I151" s="72" t="str">
        <x:f>IF(OR(G151="",G151&lt;1,G151&gt;5),"",CHOOSE(G151,9,6,4,2,1)+2*IF(H151="",0,H151))</x:f>
      </x:c>
      <x:c r="J151" s="63" t="str"/>
    </x:row>
    <x:row r="152">
      <x:c r="A152" s="72" t="n">
        <x:v>3</x:v>
      </x:c>
      <x:c r="B152" s="72" t="str">
        <x:v>H</x:v>
      </x:c>
      <x:c r="C152" s="72" t="n">
        <x:v>3</x:v>
      </x:c>
      <x:c r="D152" s="72" t="n">
        <x:v>18</x:v>
      </x:c>
      <x:c r="E152" s="72" t="str">
        <x:f>IFERROR(IF(VLOOKUP(D152,Giocatori!$A$4:$C$73,2,FALSE)&lt;&gt;"",VLOOKUP(D152,Giocatori!$A$4:$C$73,2,FALSE),"Giocatore "&amp;D152),"Giocatore "&amp;D152)</x:f>
        <x:v>Ambrosino Gabriele</x:v>
      </x:c>
      <x:c r="F152" s="63" t="str"/>
      <x:c r="G152" s="63" t="str"/>
      <x:c r="H152" s="63" t="n">
        <x:v>0</x:v>
      </x:c>
      <x:c r="I152" s="72" t="str">
        <x:f>IF(OR(G152="",G152&lt;1,G152&gt;5),"",CHOOSE(G152,9,6,4,2,1)+2*IF(H152="",0,H152))</x:f>
      </x:c>
      <x:c r="J152" s="63" t="str"/>
    </x:row>
    <x:row r="153">
      <x:c r="A153" s="72" t="n">
        <x:v>3</x:v>
      </x:c>
      <x:c r="B153" s="72" t="str">
        <x:v>H</x:v>
      </x:c>
      <x:c r="C153" s="72" t="n">
        <x:v>4</x:v>
      </x:c>
      <x:c r="D153" s="72" t="n">
        <x:v>9</x:v>
      </x:c>
      <x:c r="E153" s="72" t="str">
        <x:f>IFERROR(IF(VLOOKUP(D153,Giocatori!$A$4:$C$73,2,FALSE)&lt;&gt;"",VLOOKUP(D153,Giocatori!$A$4:$C$73,2,FALSE),"Giocatore "&amp;D153),"Giocatore "&amp;D153)</x:f>
        <x:v>Nappo Angelo</x:v>
      </x:c>
      <x:c r="F153" s="63" t="str"/>
      <x:c r="G153" s="63" t="str"/>
      <x:c r="H153" s="63" t="n">
        <x:v>0</x:v>
      </x:c>
      <x:c r="I153" s="72" t="str">
        <x:f>IF(OR(G153="",G153&lt;1,G153&gt;5),"",CHOOSE(G153,9,6,4,2,1)+2*IF(H153="",0,H153))</x:f>
      </x:c>
      <x:c r="J153" s="63" t="str"/>
    </x:row>
    <x:row r="154">
      <x:c r="A154" s="72" t="n">
        <x:v>3</x:v>
      </x:c>
      <x:c r="B154" s="72" t="str">
        <x:v>H</x:v>
      </x:c>
      <x:c r="C154" s="72" t="n">
        <x:v>5</x:v>
      </x:c>
      <x:c r="D154" s="72" t="n">
        <x:v>55</x:v>
      </x:c>
      <x:c r="E154" s="72" t="str">
        <x:f>IFERROR(IF(VLOOKUP(D154,Giocatori!$A$4:$C$73,2,FALSE)&lt;&gt;"",VLOOKUP(D154,Giocatori!$A$4:$C$73,2,FALSE),"Giocatore "&amp;D154),"Giocatore "&amp;D154)</x:f>
        <x:v>Montanera Raffaele</x:v>
      </x:c>
      <x:c r="F154" s="63" t="str"/>
      <x:c r="G154" s="63" t="str"/>
      <x:c r="H154" s="63" t="n">
        <x:v>0</x:v>
      </x:c>
      <x:c r="I154" s="72" t="str">
        <x:f>IF(OR(G154="",G154&lt;1,G154&gt;5),"",CHOOSE(G154,9,6,4,2,1)+2*IF(H154="",0,H154))</x:f>
      </x:c>
      <x:c r="J154" s="63" t="str"/>
    </x:row>
    <x:row r="155">
      <x:c r="A155" s="72" t="n">
        <x:v>3</x:v>
      </x:c>
      <x:c r="B155" s="72" t="str">
        <x:v>I</x:v>
      </x:c>
      <x:c r="C155" s="72" t="n">
        <x:v>1</x:v>
      </x:c>
      <x:c r="D155" s="72" t="n">
        <x:v>41</x:v>
      </x:c>
      <x:c r="E155" s="72" t="str">
        <x:f>IFERROR(IF(VLOOKUP(D155,Giocatori!$A$4:$C$73,2,FALSE)&lt;&gt;"",VLOOKUP(D155,Giocatori!$A$4:$C$73,2,FALSE),"Giocatore "&amp;D155),"Giocatore "&amp;D155)</x:f>
        <x:v>Nocerino Nunzio</x:v>
      </x:c>
      <x:c r="F155" s="63" t="str"/>
      <x:c r="G155" s="63" t="str"/>
      <x:c r="H155" s="63" t="n">
        <x:v>0</x:v>
      </x:c>
      <x:c r="I155" s="72" t="str">
        <x:f>IF(OR(G155="",G155&lt;1,G155&gt;5),"",CHOOSE(G155,9,6,4,2,1)+2*IF(H155="",0,H155))</x:f>
      </x:c>
      <x:c r="J155" s="63" t="str"/>
    </x:row>
    <x:row r="156">
      <x:c r="A156" s="72" t="n">
        <x:v>3</x:v>
      </x:c>
      <x:c r="B156" s="72" t="str">
        <x:v>I</x:v>
      </x:c>
      <x:c r="C156" s="72" t="n">
        <x:v>2</x:v>
      </x:c>
      <x:c r="D156" s="72" t="n">
        <x:v>32</x:v>
      </x:c>
      <x:c r="E156" s="72" t="str">
        <x:f>IFERROR(IF(VLOOKUP(D156,Giocatori!$A$4:$C$73,2,FALSE)&lt;&gt;"",VLOOKUP(D156,Giocatori!$A$4:$C$73,2,FALSE),"Giocatore "&amp;D156),"Giocatore "&amp;D156)</x:f>
        <x:v>Marotta Pasquale</x:v>
      </x:c>
      <x:c r="F156" s="63" t="str"/>
      <x:c r="G156" s="63" t="str"/>
      <x:c r="H156" s="63" t="n">
        <x:v>0</x:v>
      </x:c>
      <x:c r="I156" s="72" t="str">
        <x:f>IF(OR(G156="",G156&lt;1,G156&gt;5),"",CHOOSE(G156,9,6,4,2,1)+2*IF(H156="",0,H156))</x:f>
      </x:c>
      <x:c r="J156" s="63" t="str"/>
    </x:row>
    <x:row r="157">
      <x:c r="A157" s="72" t="n">
        <x:v>3</x:v>
      </x:c>
      <x:c r="B157" s="72" t="str">
        <x:v>I</x:v>
      </x:c>
      <x:c r="C157" s="72" t="n">
        <x:v>3</x:v>
      </x:c>
      <x:c r="D157" s="72" t="n">
        <x:v>23</x:v>
      </x:c>
      <x:c r="E157" s="72" t="str">
        <x:f>IFERROR(IF(VLOOKUP(D157,Giocatori!$A$4:$C$73,2,FALSE)&lt;&gt;"",VLOOKUP(D157,Giocatori!$A$4:$C$73,2,FALSE),"Giocatore "&amp;D157),"Giocatore "&amp;D157)</x:f>
        <x:v>Notaro Massimo</x:v>
      </x:c>
      <x:c r="F157" s="63" t="str"/>
      <x:c r="G157" s="63" t="str"/>
      <x:c r="H157" s="63" t="n">
        <x:v>0</x:v>
      </x:c>
      <x:c r="I157" s="72" t="str">
        <x:f>IF(OR(G157="",G157&lt;1,G157&gt;5),"",CHOOSE(G157,9,6,4,2,1)+2*IF(H157="",0,H157))</x:f>
      </x:c>
      <x:c r="J157" s="63" t="str"/>
    </x:row>
    <x:row r="158">
      <x:c r="A158" s="72" t="n">
        <x:v>3</x:v>
      </x:c>
      <x:c r="B158" s="72" t="str">
        <x:v>I</x:v>
      </x:c>
      <x:c r="C158" s="72" t="n">
        <x:v>4</x:v>
      </x:c>
      <x:c r="D158" s="72" t="n">
        <x:v>14</x:v>
      </x:c>
      <x:c r="E158" s="72" t="str">
        <x:f>IFERROR(IF(VLOOKUP(D158,Giocatori!$A$4:$C$73,2,FALSE)&lt;&gt;"",VLOOKUP(D158,Giocatori!$A$4:$C$73,2,FALSE),"Giocatore "&amp;D158),"Giocatore "&amp;D158)</x:f>
        <x:v>Beracci Lucio</x:v>
      </x:c>
      <x:c r="F158" s="63" t="str"/>
      <x:c r="G158" s="63" t="str"/>
      <x:c r="H158" s="63" t="n">
        <x:v>0</x:v>
      </x:c>
      <x:c r="I158" s="72" t="str">
        <x:f>IF(OR(G158="",G158&lt;1,G158&gt;5),"",CHOOSE(G158,9,6,4,2,1)+2*IF(H158="",0,H158))</x:f>
      </x:c>
      <x:c r="J158" s="63" t="str"/>
    </x:row>
    <x:row r="159">
      <x:c r="A159" s="72" t="n">
        <x:v>3</x:v>
      </x:c>
      <x:c r="B159" s="72" t="str">
        <x:v>I</x:v>
      </x:c>
      <x:c r="C159" s="72" t="n">
        <x:v>5</x:v>
      </x:c>
      <x:c r="D159" s="72" t="n">
        <x:v>5</x:v>
      </x:c>
      <x:c r="E159" s="72" t="str">
        <x:f>IFERROR(IF(VLOOKUP(D159,Giocatori!$A$4:$C$73,2,FALSE)&lt;&gt;"",VLOOKUP(D159,Giocatori!$A$4:$C$73,2,FALSE),"Giocatore "&amp;D159),"Giocatore "&amp;D159)</x:f>
        <x:v>La Marca Pasquale</x:v>
      </x:c>
      <x:c r="F159" s="63" t="str"/>
      <x:c r="G159" s="63" t="str"/>
      <x:c r="H159" s="63" t="n">
        <x:v>0</x:v>
      </x:c>
      <x:c r="I159" s="72" t="str">
        <x:f>IF(OR(G159="",G159&lt;1,G159&gt;5),"",CHOOSE(G159,9,6,4,2,1)+2*IF(H159="",0,H159))</x:f>
      </x:c>
      <x:c r="J159" s="63" t="str"/>
    </x:row>
    <x:row r="160">
      <x:c r="A160" s="72" t="n">
        <x:v>3</x:v>
      </x:c>
      <x:c r="B160" s="72" t="str">
        <x:v>J</x:v>
      </x:c>
      <x:c r="C160" s="72" t="n">
        <x:v>1</x:v>
      </x:c>
      <x:c r="D160" s="72" t="n">
        <x:v>46</x:v>
      </x:c>
      <x:c r="E160" s="72" t="str">
        <x:f>IFERROR(IF(VLOOKUP(D160,Giocatori!$A$4:$C$73,2,FALSE)&lt;&gt;"",VLOOKUP(D160,Giocatori!$A$4:$C$73,2,FALSE),"Giocatore "&amp;D160),"Giocatore "&amp;D160)</x:f>
        <x:v>Cafarelli Manolo</x:v>
      </x:c>
      <x:c r="F160" s="63" t="str"/>
      <x:c r="G160" s="63" t="str"/>
      <x:c r="H160" s="63" t="n">
        <x:v>0</x:v>
      </x:c>
      <x:c r="I160" s="72" t="str">
        <x:f>IF(OR(G160="",G160&lt;1,G160&gt;5),"",CHOOSE(G160,9,6,4,2,1)+2*IF(H160="",0,H160))</x:f>
      </x:c>
      <x:c r="J160" s="63" t="str"/>
    </x:row>
    <x:row r="161">
      <x:c r="A161" s="72" t="n">
        <x:v>3</x:v>
      </x:c>
      <x:c r="B161" s="72" t="str">
        <x:v>J</x:v>
      </x:c>
      <x:c r="C161" s="72" t="n">
        <x:v>2</x:v>
      </x:c>
      <x:c r="D161" s="72" t="n">
        <x:v>37</x:v>
      </x:c>
      <x:c r="E161" s="72" t="str">
        <x:f>IFERROR(IF(VLOOKUP(D161,Giocatori!$A$4:$C$73,2,FALSE)&lt;&gt;"",VLOOKUP(D161,Giocatori!$A$4:$C$73,2,FALSE),"Giocatore "&amp;D161),"Giocatore "&amp;D161)</x:f>
        <x:v>Spallone Carmine</x:v>
      </x:c>
      <x:c r="F161" s="63" t="str"/>
      <x:c r="G161" s="63" t="str"/>
      <x:c r="H161" s="63" t="n">
        <x:v>0</x:v>
      </x:c>
      <x:c r="I161" s="72" t="str">
        <x:f>IF(OR(G161="",G161&lt;1,G161&gt;5),"",CHOOSE(G161,9,6,4,2,1)+2*IF(H161="",0,H161))</x:f>
      </x:c>
      <x:c r="J161" s="63" t="str"/>
    </x:row>
    <x:row r="162">
      <x:c r="A162" s="72" t="n">
        <x:v>3</x:v>
      </x:c>
      <x:c r="B162" s="72" t="str">
        <x:v>J</x:v>
      </x:c>
      <x:c r="C162" s="72" t="n">
        <x:v>3</x:v>
      </x:c>
      <x:c r="D162" s="72" t="n">
        <x:v>28</x:v>
      </x:c>
      <x:c r="E162" s="72" t="str">
        <x:f>IFERROR(IF(VLOOKUP(D162,Giocatori!$A$4:$C$73,2,FALSE)&lt;&gt;"",VLOOKUP(D162,Giocatori!$A$4:$C$73,2,FALSE),"Giocatore "&amp;D162),"Giocatore "&amp;D162)</x:f>
        <x:v>Fontanella Carmine</x:v>
      </x:c>
      <x:c r="F162" s="63" t="str"/>
      <x:c r="G162" s="63" t="str"/>
      <x:c r="H162" s="63" t="n">
        <x:v>0</x:v>
      </x:c>
      <x:c r="I162" s="72" t="str">
        <x:f>IF(OR(G162="",G162&lt;1,G162&gt;5),"",CHOOSE(G162,9,6,4,2,1)+2*IF(H162="",0,H162))</x:f>
      </x:c>
      <x:c r="J162" s="63" t="str"/>
    </x:row>
    <x:row r="163">
      <x:c r="A163" s="72" t="n">
        <x:v>3</x:v>
      </x:c>
      <x:c r="B163" s="72" t="str">
        <x:v>J</x:v>
      </x:c>
      <x:c r="C163" s="72" t="n">
        <x:v>4</x:v>
      </x:c>
      <x:c r="D163" s="72" t="n">
        <x:v>19</x:v>
      </x:c>
      <x:c r="E163" s="72" t="str">
        <x:f>IFERROR(IF(VLOOKUP(D163,Giocatori!$A$4:$C$73,2,FALSE)&lt;&gt;"",VLOOKUP(D163,Giocatori!$A$4:$C$73,2,FALSE),"Giocatore "&amp;D163),"Giocatore "&amp;D163)</x:f>
        <x:v>Strocchia Franco</x:v>
      </x:c>
      <x:c r="F163" s="63" t="str"/>
      <x:c r="G163" s="63" t="str"/>
      <x:c r="H163" s="63" t="n">
        <x:v>0</x:v>
      </x:c>
      <x:c r="I163" s="72" t="str">
        <x:f>IF(OR(G163="",G163&lt;1,G163&gt;5),"",CHOOSE(G163,9,6,4,2,1)+2*IF(H163="",0,H163))</x:f>
      </x:c>
      <x:c r="J163" s="63" t="str"/>
    </x:row>
    <x:row r="164">
      <x:c r="A164" s="72" t="n">
        <x:v>3</x:v>
      </x:c>
      <x:c r="B164" s="72" t="str">
        <x:v>J</x:v>
      </x:c>
      <x:c r="C164" s="72" t="n">
        <x:v>5</x:v>
      </x:c>
      <x:c r="D164" s="72" t="n">
        <x:v>10</x:v>
      </x:c>
      <x:c r="E164" s="72" t="str">
        <x:f>IFERROR(IF(VLOOKUP(D164,Giocatori!$A$4:$C$73,2,FALSE)&lt;&gt;"",VLOOKUP(D164,Giocatori!$A$4:$C$73,2,FALSE),"Giocatore "&amp;D164),"Giocatore "&amp;D164)</x:f>
        <x:v>Cavallaro Erasmo</x:v>
      </x:c>
      <x:c r="F164" s="63" t="str"/>
      <x:c r="G164" s="63" t="str"/>
      <x:c r="H164" s="63" t="n">
        <x:v>0</x:v>
      </x:c>
      <x:c r="I164" s="72" t="str">
        <x:f>IF(OR(G164="",G164&lt;1,G164&gt;5),"",CHOOSE(G164,9,6,4,2,1)+2*IF(H164="",0,H164))</x:f>
      </x:c>
      <x:c r="J164" s="63" t="str"/>
    </x:row>
    <x:row r="165">
      <x:c r="A165" s="72" t="n">
        <x:v>3</x:v>
      </x:c>
      <x:c r="B165" s="72" t="str">
        <x:v>K</x:v>
      </x:c>
      <x:c r="C165" s="72" t="n">
        <x:v>1</x:v>
      </x:c>
      <x:c r="D165" s="72" t="n">
        <x:v>51</x:v>
      </x:c>
      <x:c r="E165" s="72" t="str">
        <x:f>IFERROR(IF(VLOOKUP(D165,Giocatori!$A$4:$C$73,2,FALSE)&lt;&gt;"",VLOOKUP(D165,Giocatori!$A$4:$C$73,2,FALSE),"Giocatore "&amp;D165),"Giocatore "&amp;D165)</x:f>
        <x:v>Domenico</x:v>
      </x:c>
      <x:c r="F165" s="63" t="str"/>
      <x:c r="G165" s="63" t="str"/>
      <x:c r="H165" s="63" t="n">
        <x:v>0</x:v>
      </x:c>
      <x:c r="I165" s="72" t="str">
        <x:f>IF(OR(G165="",G165&lt;1,G165&gt;5),"",CHOOSE(G165,9,6,4,2,1)+2*IF(H165="",0,H165))</x:f>
      </x:c>
      <x:c r="J165" s="63" t="str"/>
    </x:row>
    <x:row r="166">
      <x:c r="A166" s="72" t="n">
        <x:v>3</x:v>
      </x:c>
      <x:c r="B166" s="72" t="str">
        <x:v>K</x:v>
      </x:c>
      <x:c r="C166" s="72" t="n">
        <x:v>2</x:v>
      </x:c>
      <x:c r="D166" s="72" t="n">
        <x:v>42</x:v>
      </x:c>
      <x:c r="E166" s="72" t="str">
        <x:f>IFERROR(IF(VLOOKUP(D166,Giocatori!$A$4:$C$73,2,FALSE)&lt;&gt;"",VLOOKUP(D166,Giocatori!$A$4:$C$73,2,FALSE),"Giocatore "&amp;D166),"Giocatore "&amp;D166)</x:f>
        <x:v>Guerriero Giuseppe</x:v>
      </x:c>
      <x:c r="F166" s="63" t="str"/>
      <x:c r="G166" s="63" t="str"/>
      <x:c r="H166" s="63" t="n">
        <x:v>0</x:v>
      </x:c>
      <x:c r="I166" s="72" t="str">
        <x:f>IF(OR(G166="",G166&lt;1,G166&gt;5),"",CHOOSE(G166,9,6,4,2,1)+2*IF(H166="",0,H166))</x:f>
      </x:c>
      <x:c r="J166" s="63" t="str"/>
    </x:row>
    <x:row r="167">
      <x:c r="A167" s="72" t="n">
        <x:v>3</x:v>
      </x:c>
      <x:c r="B167" s="72" t="str">
        <x:v>K</x:v>
      </x:c>
      <x:c r="C167" s="72" t="n">
        <x:v>3</x:v>
      </x:c>
      <x:c r="D167" s="72" t="n">
        <x:v>33</x:v>
      </x:c>
      <x:c r="E167" s="72" t="str">
        <x:f>IFERROR(IF(VLOOKUP(D167,Giocatori!$A$4:$C$73,2,FALSE)&lt;&gt;"",VLOOKUP(D167,Giocatori!$A$4:$C$73,2,FALSE),"Giocatore "&amp;D167),"Giocatore "&amp;D167)</x:f>
        <x:v>Franzese Francesco</x:v>
      </x:c>
      <x:c r="F167" s="63" t="str"/>
      <x:c r="G167" s="63" t="str"/>
      <x:c r="H167" s="63" t="n">
        <x:v>0</x:v>
      </x:c>
      <x:c r="I167" s="72" t="str">
        <x:f>IF(OR(G167="",G167&lt;1,G167&gt;5),"",CHOOSE(G167,9,6,4,2,1)+2*IF(H167="",0,H167))</x:f>
      </x:c>
      <x:c r="J167" s="63" t="str"/>
    </x:row>
    <x:row r="168">
      <x:c r="A168" s="72" t="n">
        <x:v>3</x:v>
      </x:c>
      <x:c r="B168" s="72" t="str">
        <x:v>K</x:v>
      </x:c>
      <x:c r="C168" s="72" t="n">
        <x:v>4</x:v>
      </x:c>
      <x:c r="D168" s="72" t="n">
        <x:v>24</x:v>
      </x:c>
      <x:c r="E168" s="72" t="str">
        <x:f>IFERROR(IF(VLOOKUP(D168,Giocatori!$A$4:$C$73,2,FALSE)&lt;&gt;"",VLOOKUP(D168,Giocatori!$A$4:$C$73,2,FALSE),"Giocatore "&amp;D168),"Giocatore "&amp;D168)</x:f>
        <x:v>Pierro Giuseppe</x:v>
      </x:c>
      <x:c r="F168" s="63" t="str"/>
      <x:c r="G168" s="63" t="str"/>
      <x:c r="H168" s="63" t="n">
        <x:v>0</x:v>
      </x:c>
      <x:c r="I168" s="72" t="str">
        <x:f>IF(OR(G168="",G168&lt;1,G168&gt;5),"",CHOOSE(G168,9,6,4,2,1)+2*IF(H168="",0,H168))</x:f>
      </x:c>
      <x:c r="J168" s="63" t="str"/>
    </x:row>
    <x:row r="169">
      <x:c r="A169" s="72" t="n">
        <x:v>3</x:v>
      </x:c>
      <x:c r="B169" s="72" t="str">
        <x:v>K</x:v>
      </x:c>
      <x:c r="C169" s="72" t="n">
        <x:v>5</x:v>
      </x:c>
      <x:c r="D169" s="72" t="n">
        <x:v>15</x:v>
      </x:c>
      <x:c r="E169" s="72" t="str">
        <x:f>IFERROR(IF(VLOOKUP(D169,Giocatori!$A$4:$C$73,2,FALSE)&lt;&gt;"",VLOOKUP(D169,Giocatori!$A$4:$C$73,2,FALSE),"Giocatore "&amp;D169),"Giocatore "&amp;D169)</x:f>
        <x:v>De Falco Andrea</x:v>
      </x:c>
      <x:c r="F169" s="63" t="str"/>
      <x:c r="G169" s="63" t="str"/>
      <x:c r="H169" s="63" t="n">
        <x:v>0</x:v>
      </x:c>
      <x:c r="I169" s="72" t="str">
        <x:f>IF(OR(G169="",G169&lt;1,G169&gt;5),"",CHOOSE(G169,9,6,4,2,1)+2*IF(H169="",0,H169))</x:f>
      </x:c>
      <x:c r="J169" s="63" t="str"/>
    </x:row>
  </x:sheetData>
  <x:mergeCells>
    <x:mergeCell ref="A1:J1"/>
    <x:mergeCell ref="A2:J2"/>
  </x:mergeCells>
  <x:dataValidations count="3">
    <x:dataValidation type="list" sqref="G5:G169">
      <x:formula1>"1,2,3,4,5"</x:formula1>
    </x:dataValidation>
    <x:dataValidation operator="greaterThanOrEqual" sqref="H5:H169">
      <x:formula1>0</x:formula1>
    </x:dataValidation>
    <x:dataValidation operator="between" sqref="F5:F169">
      <x:formula1>0</x:formula1>
      <x:formula2>200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5813c624d23b48e5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10" hidden="0" customWidth="1"/>
    <x:col min="3" max="3" width="9" hidden="0" customWidth="1"/>
    <x:col min="4" max="4" width="14" hidden="0" customWidth="1"/>
    <x:col min="5" max="5" width="28" hidden="0" customWidth="1"/>
    <x:col min="6" max="6" width="16" hidden="0" customWidth="1"/>
    <x:col min="7" max="7" width="13" hidden="0" customWidth="1"/>
    <x:col min="8" max="8" width="10" hidden="0" customWidth="1"/>
    <x:col min="9" max="9" width="17" hidden="0" customWidth="1"/>
    <x:col min="10" max="10" width="30" hidden="0" customWidth="1"/>
  </x:cols>
  <x:sheetData>
    <x:row r="1" ht="30" customHeight="1">
      <x:c r="A1" s="51" t="str">
        <x:v>RISULTATI - 60 GIOCATORI</x:v>
      </x:c>
      <x:c r="B1" s="51"/>
      <x:c r="C1" s="51"/>
      <x:c r="D1" s="51"/>
      <x:c r="E1" s="51"/>
      <x:c r="F1" s="51"/>
      <x:c r="G1" s="51"/>
      <x:c r="H1" s="51"/>
      <x:c r="I1" s="51"/>
      <x:c r="J1" s="51"/>
    </x:row>
    <x:row r="2">
      <x:c r="A2" s="74" t="str">
        <x:v>Compilare esclusivamente le celle gialle. Posizione: 1 = migliore al tavolo, 5 = peggiore.</x:v>
      </x:c>
      <x:c r="B2" s="74"/>
      <x:c r="C2" s="74"/>
      <x:c r="D2" s="74"/>
      <x:c r="E2" s="74"/>
      <x:c r="F2" s="74"/>
      <x:c r="G2" s="74"/>
      <x:c r="H2" s="74"/>
      <x:c r="I2" s="74"/>
      <x:c r="J2" s="74"/>
    </x:row>
    <x:row r="4">
      <x:c r="A4" s="62" t="str">
        <x:v>Turno</x:v>
      </x:c>
      <x:c r="B4" s="62" t="str">
        <x:v>Tavolo</x:v>
      </x:c>
      <x:c r="C4" s="62" t="str">
        <x:v>Sedia</x:v>
      </x:c>
      <x:c r="D4" s="62" t="str">
        <x:v>Giocatore ID</x:v>
      </x:c>
      <x:c r="E4" s="62" t="str">
        <x:v>Nome</x:v>
      </x:c>
      <x:c r="F4" s="62" t="str">
        <x:v>Punti partita</x:v>
      </x:c>
      <x:c r="G4" s="62" t="str">
        <x:v>Posizione</x:v>
      </x:c>
      <x:c r="H4" s="62" t="str">
        <x:v>Sóle</x:v>
      </x:c>
      <x:c r="I4" s="62" t="str">
        <x:v>Punti classifica</x:v>
      </x:c>
      <x:c r="J4" s="62" t="str">
        <x:v>Note</x:v>
      </x:c>
    </x:row>
    <x:row r="5">
      <x:c r="A5" s="72" t="n">
        <x:v>1</x:v>
      </x:c>
      <x:c r="B5" s="72" t="str">
        <x:v>A</x:v>
      </x:c>
      <x:c r="C5" s="72" t="n">
        <x:v>1</x:v>
      </x:c>
      <x:c r="D5" s="72" t="n">
        <x:v>1</x:v>
      </x:c>
      <x:c r="E5" s="72" t="str">
        <x:f>IFERROR(IF(VLOOKUP(D5,Giocatori!$A$4:$C$73,2,FALSE)&lt;&gt;"",VLOOKUP(D5,Giocatori!$A$4:$C$73,2,FALSE),"Giocatore "&amp;D5),"Giocatore "&amp;D5)</x:f>
        <x:v>Annunziata Michele</x:v>
      </x:c>
      <x:c r="F5" s="63" t="str"/>
      <x:c r="G5" s="63" t="str"/>
      <x:c r="H5" s="63" t="n">
        <x:v>0</x:v>
      </x:c>
      <x:c r="I5" s="72" t="str">
        <x:f>IF(OR(G5="",G5&lt;1,G5&gt;5),"",CHOOSE(G5,9,6,4,2,1)+2*IF(H5="",0,H5))</x:f>
      </x:c>
      <x:c r="J5" s="63" t="str"/>
    </x:row>
    <x:row r="6">
      <x:c r="A6" s="72" t="n">
        <x:v>1</x:v>
      </x:c>
      <x:c r="B6" s="72" t="str">
        <x:v>A</x:v>
      </x:c>
      <x:c r="C6" s="72" t="n">
        <x:v>2</x:v>
      </x:c>
      <x:c r="D6" s="72" t="n">
        <x:v>2</x:v>
      </x:c>
      <x:c r="E6" s="72" t="str">
        <x:f>IFERROR(IF(VLOOKUP(D6,Giocatori!$A$4:$C$73,2,FALSE)&lt;&gt;"",VLOOKUP(D6,Giocatori!$A$4:$C$73,2,FALSE),"Giocatore "&amp;D6),"Giocatore "&amp;D6)</x:f>
        <x:v>La Marca Carlo</x:v>
      </x:c>
      <x:c r="F6" s="63" t="str"/>
      <x:c r="G6" s="63" t="str"/>
      <x:c r="H6" s="63" t="n">
        <x:v>0</x:v>
      </x:c>
      <x:c r="I6" s="72" t="str">
        <x:f>IF(OR(G6="",G6&lt;1,G6&gt;5),"",CHOOSE(G6,9,6,4,2,1)+2*IF(H6="",0,H6))</x:f>
      </x:c>
      <x:c r="J6" s="63" t="str"/>
    </x:row>
    <x:row r="7">
      <x:c r="A7" s="72" t="n">
        <x:v>1</x:v>
      </x:c>
      <x:c r="B7" s="72" t="str">
        <x:v>A</x:v>
      </x:c>
      <x:c r="C7" s="72" t="n">
        <x:v>3</x:v>
      </x:c>
      <x:c r="D7" s="72" t="n">
        <x:v>3</x:v>
      </x:c>
      <x:c r="E7" s="72" t="str">
        <x:f>IFERROR(IF(VLOOKUP(D7,Giocatori!$A$4:$C$73,2,FALSE)&lt;&gt;"",VLOOKUP(D7,Giocatori!$A$4:$C$73,2,FALSE),"Giocatore "&amp;D7),"Giocatore "&amp;D7)</x:f>
        <x:v>Sommese Antonio</x:v>
      </x:c>
      <x:c r="F7" s="63" t="str"/>
      <x:c r="G7" s="63" t="str"/>
      <x:c r="H7" s="63" t="n">
        <x:v>0</x:v>
      </x:c>
      <x:c r="I7" s="72" t="str">
        <x:f>IF(OR(G7="",G7&lt;1,G7&gt;5),"",CHOOSE(G7,9,6,4,2,1)+2*IF(H7="",0,H7))</x:f>
      </x:c>
      <x:c r="J7" s="63" t="str"/>
    </x:row>
    <x:row r="8">
      <x:c r="A8" s="72" t="n">
        <x:v>1</x:v>
      </x:c>
      <x:c r="B8" s="72" t="str">
        <x:v>A</x:v>
      </x:c>
      <x:c r="C8" s="72" t="n">
        <x:v>4</x:v>
      </x:c>
      <x:c r="D8" s="72" t="n">
        <x:v>4</x:v>
      </x:c>
      <x:c r="E8" s="72" t="str">
        <x:f>IFERROR(IF(VLOOKUP(D8,Giocatori!$A$4:$C$73,2,FALSE)&lt;&gt;"",VLOOKUP(D8,Giocatori!$A$4:$C$73,2,FALSE),"Giocatore "&amp;D8),"Giocatore "&amp;D8)</x:f>
        <x:v>Annunziata Raffaele</x:v>
      </x:c>
      <x:c r="F8" s="63" t="str"/>
      <x:c r="G8" s="63" t="str"/>
      <x:c r="H8" s="63" t="n">
        <x:v>0</x:v>
      </x:c>
      <x:c r="I8" s="72" t="str">
        <x:f>IF(OR(G8="",G8&lt;1,G8&gt;5),"",CHOOSE(G8,9,6,4,2,1)+2*IF(H8="",0,H8))</x:f>
      </x:c>
      <x:c r="J8" s="63" t="str"/>
    </x:row>
    <x:row r="9">
      <x:c r="A9" s="72" t="n">
        <x:v>1</x:v>
      </x:c>
      <x:c r="B9" s="72" t="str">
        <x:v>A</x:v>
      </x:c>
      <x:c r="C9" s="72" t="n">
        <x:v>5</x:v>
      </x:c>
      <x:c r="D9" s="72" t="n">
        <x:v>5</x:v>
      </x:c>
      <x:c r="E9" s="72" t="str">
        <x:f>IFERROR(IF(VLOOKUP(D9,Giocatori!$A$4:$C$73,2,FALSE)&lt;&gt;"",VLOOKUP(D9,Giocatori!$A$4:$C$73,2,FALSE),"Giocatore "&amp;D9),"Giocatore "&amp;D9)</x:f>
        <x:v>La Marca Pasquale</x:v>
      </x:c>
      <x:c r="F9" s="63" t="str"/>
      <x:c r="G9" s="63" t="str"/>
      <x:c r="H9" s="63" t="n">
        <x:v>0</x:v>
      </x:c>
      <x:c r="I9" s="72" t="str">
        <x:f>IF(OR(G9="",G9&lt;1,G9&gt;5),"",CHOOSE(G9,9,6,4,2,1)+2*IF(H9="",0,H9))</x:f>
      </x:c>
      <x:c r="J9" s="63" t="str"/>
    </x:row>
    <x:row r="10">
      <x:c r="A10" s="72" t="n">
        <x:v>1</x:v>
      </x:c>
      <x:c r="B10" s="72" t="str">
        <x:v>B</x:v>
      </x:c>
      <x:c r="C10" s="72" t="n">
        <x:v>1</x:v>
      </x:c>
      <x:c r="D10" s="72" t="n">
        <x:v>6</x:v>
      </x:c>
      <x:c r="E10" s="72" t="str">
        <x:f>IFERROR(IF(VLOOKUP(D10,Giocatori!$A$4:$C$73,2,FALSE)&lt;&gt;"",VLOOKUP(D10,Giocatori!$A$4:$C$73,2,FALSE),"Giocatore "&amp;D10),"Giocatore "&amp;D10)</x:f>
        <x:v>Panico Pasquale</x:v>
      </x:c>
      <x:c r="F10" s="63" t="str"/>
      <x:c r="G10" s="63" t="str"/>
      <x:c r="H10" s="63" t="n">
        <x:v>0</x:v>
      </x:c>
      <x:c r="I10" s="72" t="str">
        <x:f>IF(OR(G10="",G10&lt;1,G10&gt;5),"",CHOOSE(G10,9,6,4,2,1)+2*IF(H10="",0,H10))</x:f>
      </x:c>
      <x:c r="J10" s="63" t="str"/>
    </x:row>
    <x:row r="11">
      <x:c r="A11" s="72" t="n">
        <x:v>1</x:v>
      </x:c>
      <x:c r="B11" s="72" t="str">
        <x:v>B</x:v>
      </x:c>
      <x:c r="C11" s="72" t="n">
        <x:v>2</x:v>
      </x:c>
      <x:c r="D11" s="72" t="n">
        <x:v>7</x:v>
      </x:c>
      <x:c r="E11" s="72" t="str">
        <x:f>IFERROR(IF(VLOOKUP(D11,Giocatori!$A$4:$C$73,2,FALSE)&lt;&gt;"",VLOOKUP(D11,Giocatori!$A$4:$C$73,2,FALSE),"Giocatore "&amp;D11),"Giocatore "&amp;D11)</x:f>
        <x:v>Ambrosino Michele</x:v>
      </x:c>
      <x:c r="F11" s="63" t="str"/>
      <x:c r="G11" s="63" t="str"/>
      <x:c r="H11" s="63" t="n">
        <x:v>0</x:v>
      </x:c>
      <x:c r="I11" s="72" t="str">
        <x:f>IF(OR(G11="",G11&lt;1,G11&gt;5),"",CHOOSE(G11,9,6,4,2,1)+2*IF(H11="",0,H11))</x:f>
      </x:c>
      <x:c r="J11" s="63" t="str"/>
    </x:row>
    <x:row r="12">
      <x:c r="A12" s="72" t="n">
        <x:v>1</x:v>
      </x:c>
      <x:c r="B12" s="72" t="str">
        <x:v>B</x:v>
      </x:c>
      <x:c r="C12" s="72" t="n">
        <x:v>3</x:v>
      </x:c>
      <x:c r="D12" s="72" t="n">
        <x:v>8</x:v>
      </x:c>
      <x:c r="E12" s="72" t="str">
        <x:f>IFERROR(IF(VLOOKUP(D12,Giocatori!$A$4:$C$73,2,FALSE)&lt;&gt;"",VLOOKUP(D12,Giocatori!$A$4:$C$73,2,FALSE),"Giocatore "&amp;D12),"Giocatore "&amp;D12)</x:f>
        <x:v>Ambrosino Raffaele</x:v>
      </x:c>
      <x:c r="F12" s="63" t="str"/>
      <x:c r="G12" s="63" t="str"/>
      <x:c r="H12" s="63" t="n">
        <x:v>0</x:v>
      </x:c>
      <x:c r="I12" s="72" t="str">
        <x:f>IF(OR(G12="",G12&lt;1,G12&gt;5),"",CHOOSE(G12,9,6,4,2,1)+2*IF(H12="",0,H12))</x:f>
      </x:c>
      <x:c r="J12" s="63" t="str"/>
    </x:row>
    <x:row r="13">
      <x:c r="A13" s="72" t="n">
        <x:v>1</x:v>
      </x:c>
      <x:c r="B13" s="72" t="str">
        <x:v>B</x:v>
      </x:c>
      <x:c r="C13" s="72" t="n">
        <x:v>4</x:v>
      </x:c>
      <x:c r="D13" s="72" t="n">
        <x:v>9</x:v>
      </x:c>
      <x:c r="E13" s="72" t="str">
        <x:f>IFERROR(IF(VLOOKUP(D13,Giocatori!$A$4:$C$73,2,FALSE)&lt;&gt;"",VLOOKUP(D13,Giocatori!$A$4:$C$73,2,FALSE),"Giocatore "&amp;D13),"Giocatore "&amp;D13)</x:f>
        <x:v>Nappo Angelo</x:v>
      </x:c>
      <x:c r="F13" s="63" t="str"/>
      <x:c r="G13" s="63" t="str"/>
      <x:c r="H13" s="63" t="n">
        <x:v>0</x:v>
      </x:c>
      <x:c r="I13" s="72" t="str">
        <x:f>IF(OR(G13="",G13&lt;1,G13&gt;5),"",CHOOSE(G13,9,6,4,2,1)+2*IF(H13="",0,H13))</x:f>
      </x:c>
      <x:c r="J13" s="63" t="str"/>
    </x:row>
    <x:row r="14">
      <x:c r="A14" s="72" t="n">
        <x:v>1</x:v>
      </x:c>
      <x:c r="B14" s="72" t="str">
        <x:v>B</x:v>
      </x:c>
      <x:c r="C14" s="72" t="n">
        <x:v>5</x:v>
      </x:c>
      <x:c r="D14" s="72" t="n">
        <x:v>10</x:v>
      </x:c>
      <x:c r="E14" s="72" t="str">
        <x:f>IFERROR(IF(VLOOKUP(D14,Giocatori!$A$4:$C$73,2,FALSE)&lt;&gt;"",VLOOKUP(D14,Giocatori!$A$4:$C$73,2,FALSE),"Giocatore "&amp;D14),"Giocatore "&amp;D14)</x:f>
        <x:v>Cavallaro Erasmo</x:v>
      </x:c>
      <x:c r="F14" s="63" t="str"/>
      <x:c r="G14" s="63" t="str"/>
      <x:c r="H14" s="63" t="n">
        <x:v>0</x:v>
      </x:c>
      <x:c r="I14" s="72" t="str">
        <x:f>IF(OR(G14="",G14&lt;1,G14&gt;5),"",CHOOSE(G14,9,6,4,2,1)+2*IF(H14="",0,H14))</x:f>
      </x:c>
      <x:c r="J14" s="63" t="str"/>
    </x:row>
    <x:row r="15">
      <x:c r="A15" s="72" t="n">
        <x:v>1</x:v>
      </x:c>
      <x:c r="B15" s="72" t="str">
        <x:v>C</x:v>
      </x:c>
      <x:c r="C15" s="72" t="n">
        <x:v>1</x:v>
      </x:c>
      <x:c r="D15" s="72" t="n">
        <x:v>11</x:v>
      </x:c>
      <x:c r="E15" s="72" t="str">
        <x:f>IFERROR(IF(VLOOKUP(D15,Giocatori!$A$4:$C$73,2,FALSE)&lt;&gt;"",VLOOKUP(D15,Giocatori!$A$4:$C$73,2,FALSE),"Giocatore "&amp;D15),"Giocatore "&amp;D15)</x:f>
        <x:v>Notaro Giacomo</x:v>
      </x:c>
      <x:c r="F15" s="63" t="str"/>
      <x:c r="G15" s="63" t="str"/>
      <x:c r="H15" s="63" t="n">
        <x:v>0</x:v>
      </x:c>
      <x:c r="I15" s="72" t="str">
        <x:f>IF(OR(G15="",G15&lt;1,G15&gt;5),"",CHOOSE(G15,9,6,4,2,1)+2*IF(H15="",0,H15))</x:f>
      </x:c>
      <x:c r="J15" s="63" t="str"/>
    </x:row>
    <x:row r="16">
      <x:c r="A16" s="72" t="n">
        <x:v>1</x:v>
      </x:c>
      <x:c r="B16" s="72" t="str">
        <x:v>C</x:v>
      </x:c>
      <x:c r="C16" s="72" t="n">
        <x:v>2</x:v>
      </x:c>
      <x:c r="D16" s="72" t="n">
        <x:v>12</x:v>
      </x:c>
      <x:c r="E16" s="72" t="str">
        <x:f>IFERROR(IF(VLOOKUP(D16,Giocatori!$A$4:$C$73,2,FALSE)&lt;&gt;"",VLOOKUP(D16,Giocatori!$A$4:$C$73,2,FALSE),"Giocatore "&amp;D16),"Giocatore "&amp;D16)</x:f>
        <x:v>Scognamiglio Alfredo</x:v>
      </x:c>
      <x:c r="F16" s="63" t="str"/>
      <x:c r="G16" s="63" t="str"/>
      <x:c r="H16" s="63" t="n">
        <x:v>0</x:v>
      </x:c>
      <x:c r="I16" s="72" t="str">
        <x:f>IF(OR(G16="",G16&lt;1,G16&gt;5),"",CHOOSE(G16,9,6,4,2,1)+2*IF(H16="",0,H16))</x:f>
      </x:c>
      <x:c r="J16" s="63" t="str"/>
    </x:row>
    <x:row r="17">
      <x:c r="A17" s="72" t="n">
        <x:v>1</x:v>
      </x:c>
      <x:c r="B17" s="72" t="str">
        <x:v>C</x:v>
      </x:c>
      <x:c r="C17" s="72" t="n">
        <x:v>3</x:v>
      </x:c>
      <x:c r="D17" s="72" t="n">
        <x:v>13</x:v>
      </x:c>
      <x:c r="E17" s="72" t="str">
        <x:f>IFERROR(IF(VLOOKUP(D17,Giocatori!$A$4:$C$73,2,FALSE)&lt;&gt;"",VLOOKUP(D17,Giocatori!$A$4:$C$73,2,FALSE),"Giocatore "&amp;D17),"Giocatore "&amp;D17)</x:f>
        <x:v>Del Vecchio Diego</x:v>
      </x:c>
      <x:c r="F17" s="63" t="str"/>
      <x:c r="G17" s="63" t="str"/>
      <x:c r="H17" s="63" t="n">
        <x:v>0</x:v>
      </x:c>
      <x:c r="I17" s="72" t="str">
        <x:f>IF(OR(G17="",G17&lt;1,G17&gt;5),"",CHOOSE(G17,9,6,4,2,1)+2*IF(H17="",0,H17))</x:f>
      </x:c>
      <x:c r="J17" s="63" t="str"/>
    </x:row>
    <x:row r="18">
      <x:c r="A18" s="72" t="n">
        <x:v>1</x:v>
      </x:c>
      <x:c r="B18" s="72" t="str">
        <x:v>C</x:v>
      </x:c>
      <x:c r="C18" s="72" t="n">
        <x:v>4</x:v>
      </x:c>
      <x:c r="D18" s="72" t="n">
        <x:v>14</x:v>
      </x:c>
      <x:c r="E18" s="72" t="str">
        <x:f>IFERROR(IF(VLOOKUP(D18,Giocatori!$A$4:$C$73,2,FALSE)&lt;&gt;"",VLOOKUP(D18,Giocatori!$A$4:$C$73,2,FALSE),"Giocatore "&amp;D18),"Giocatore "&amp;D18)</x:f>
        <x:v>Beracci Lucio</x:v>
      </x:c>
      <x:c r="F18" s="63" t="str"/>
      <x:c r="G18" s="63" t="str"/>
      <x:c r="H18" s="63" t="n">
        <x:v>0</x:v>
      </x:c>
      <x:c r="I18" s="72" t="str">
        <x:f>IF(OR(G18="",G18&lt;1,G18&gt;5),"",CHOOSE(G18,9,6,4,2,1)+2*IF(H18="",0,H18))</x:f>
      </x:c>
      <x:c r="J18" s="63" t="str"/>
    </x:row>
    <x:row r="19">
      <x:c r="A19" s="72" t="n">
        <x:v>1</x:v>
      </x:c>
      <x:c r="B19" s="72" t="str">
        <x:v>C</x:v>
      </x:c>
      <x:c r="C19" s="72" t="n">
        <x:v>5</x:v>
      </x:c>
      <x:c r="D19" s="72" t="n">
        <x:v>15</x:v>
      </x:c>
      <x:c r="E19" s="72" t="str">
        <x:f>IFERROR(IF(VLOOKUP(D19,Giocatori!$A$4:$C$73,2,FALSE)&lt;&gt;"",VLOOKUP(D19,Giocatori!$A$4:$C$73,2,FALSE),"Giocatore "&amp;D19),"Giocatore "&amp;D19)</x:f>
        <x:v>De Falco Andrea</x:v>
      </x:c>
      <x:c r="F19" s="63" t="str"/>
      <x:c r="G19" s="63" t="str"/>
      <x:c r="H19" s="63" t="n">
        <x:v>0</x:v>
      </x:c>
      <x:c r="I19" s="72" t="str">
        <x:f>IF(OR(G19="",G19&lt;1,G19&gt;5),"",CHOOSE(G19,9,6,4,2,1)+2*IF(H19="",0,H19))</x:f>
      </x:c>
      <x:c r="J19" s="63" t="str"/>
    </x:row>
    <x:row r="20">
      <x:c r="A20" s="72" t="n">
        <x:v>1</x:v>
      </x:c>
      <x:c r="B20" s="72" t="str">
        <x:v>D</x:v>
      </x:c>
      <x:c r="C20" s="72" t="n">
        <x:v>1</x:v>
      </x:c>
      <x:c r="D20" s="72" t="n">
        <x:v>16</x:v>
      </x:c>
      <x:c r="E20" s="72" t="str">
        <x:f>IFERROR(IF(VLOOKUP(D20,Giocatori!$A$4:$C$73,2,FALSE)&lt;&gt;"",VLOOKUP(D20,Giocatori!$A$4:$C$73,2,FALSE),"Giocatore "&amp;D20),"Giocatore "&amp;D20)</x:f>
        <x:v>Beracci Benedetto</x:v>
      </x:c>
      <x:c r="F20" s="63" t="str"/>
      <x:c r="G20" s="63" t="str"/>
      <x:c r="H20" s="63" t="n">
        <x:v>0</x:v>
      </x:c>
      <x:c r="I20" s="72" t="str">
        <x:f>IF(OR(G20="",G20&lt;1,G20&gt;5),"",CHOOSE(G20,9,6,4,2,1)+2*IF(H20="",0,H20))</x:f>
      </x:c>
      <x:c r="J20" s="63" t="str"/>
    </x:row>
    <x:row r="21">
      <x:c r="A21" s="72" t="n">
        <x:v>1</x:v>
      </x:c>
      <x:c r="B21" s="72" t="str">
        <x:v>D</x:v>
      </x:c>
      <x:c r="C21" s="72" t="n">
        <x:v>2</x:v>
      </x:c>
      <x:c r="D21" s="72" t="n">
        <x:v>17</x:v>
      </x:c>
      <x:c r="E21" s="72" t="str">
        <x:f>IFERROR(IF(VLOOKUP(D21,Giocatori!$A$4:$C$73,2,FALSE)&lt;&gt;"",VLOOKUP(D21,Giocatori!$A$4:$C$73,2,FALSE),"Giocatore "&amp;D21),"Giocatore "&amp;D21)</x:f>
        <x:v>Tufano Giovanni</x:v>
      </x:c>
      <x:c r="F21" s="63" t="str"/>
      <x:c r="G21" s="63" t="str"/>
      <x:c r="H21" s="63" t="n">
        <x:v>0</x:v>
      </x:c>
      <x:c r="I21" s="72" t="str">
        <x:f>IF(OR(G21="",G21&lt;1,G21&gt;5),"",CHOOSE(G21,9,6,4,2,1)+2*IF(H21="",0,H21))</x:f>
      </x:c>
      <x:c r="J21" s="63" t="str"/>
    </x:row>
    <x:row r="22">
      <x:c r="A22" s="72" t="n">
        <x:v>1</x:v>
      </x:c>
      <x:c r="B22" s="72" t="str">
        <x:v>D</x:v>
      </x:c>
      <x:c r="C22" s="72" t="n">
        <x:v>3</x:v>
      </x:c>
      <x:c r="D22" s="72" t="n">
        <x:v>18</x:v>
      </x:c>
      <x:c r="E22" s="72" t="str">
        <x:f>IFERROR(IF(VLOOKUP(D22,Giocatori!$A$4:$C$73,2,FALSE)&lt;&gt;"",VLOOKUP(D22,Giocatori!$A$4:$C$73,2,FALSE),"Giocatore "&amp;D22),"Giocatore "&amp;D22)</x:f>
        <x:v>Ambrosino Gabriele</x:v>
      </x:c>
      <x:c r="F22" s="63" t="str"/>
      <x:c r="G22" s="63" t="str"/>
      <x:c r="H22" s="63" t="n">
        <x:v>0</x:v>
      </x:c>
      <x:c r="I22" s="72" t="str">
        <x:f>IF(OR(G22="",G22&lt;1,G22&gt;5),"",CHOOSE(G22,9,6,4,2,1)+2*IF(H22="",0,H22))</x:f>
      </x:c>
      <x:c r="J22" s="63" t="str"/>
    </x:row>
    <x:row r="23">
      <x:c r="A23" s="72" t="n">
        <x:v>1</x:v>
      </x:c>
      <x:c r="B23" s="72" t="str">
        <x:v>D</x:v>
      </x:c>
      <x:c r="C23" s="72" t="n">
        <x:v>4</x:v>
      </x:c>
      <x:c r="D23" s="72" t="n">
        <x:v>19</x:v>
      </x:c>
      <x:c r="E23" s="72" t="str">
        <x:f>IFERROR(IF(VLOOKUP(D23,Giocatori!$A$4:$C$73,2,FALSE)&lt;&gt;"",VLOOKUP(D23,Giocatori!$A$4:$C$73,2,FALSE),"Giocatore "&amp;D23),"Giocatore "&amp;D23)</x:f>
        <x:v>Strocchia Franco</x:v>
      </x:c>
      <x:c r="F23" s="63" t="str"/>
      <x:c r="G23" s="63" t="str"/>
      <x:c r="H23" s="63" t="n">
        <x:v>0</x:v>
      </x:c>
      <x:c r="I23" s="72" t="str">
        <x:f>IF(OR(G23="",G23&lt;1,G23&gt;5),"",CHOOSE(G23,9,6,4,2,1)+2*IF(H23="",0,H23))</x:f>
      </x:c>
      <x:c r="J23" s="63" t="str"/>
    </x:row>
    <x:row r="24">
      <x:c r="A24" s="72" t="n">
        <x:v>1</x:v>
      </x:c>
      <x:c r="B24" s="72" t="str">
        <x:v>D</x:v>
      </x:c>
      <x:c r="C24" s="72" t="n">
        <x:v>5</x:v>
      </x:c>
      <x:c r="D24" s="72" t="n">
        <x:v>20</x:v>
      </x:c>
      <x:c r="E24" s="72" t="str">
        <x:f>IFERROR(IF(VLOOKUP(D24,Giocatori!$A$4:$C$73,2,FALSE)&lt;&gt;"",VLOOKUP(D24,Giocatori!$A$4:$C$73,2,FALSE),"Giocatore "&amp;D24),"Giocatore "&amp;D24)</x:f>
        <x:v>Morelli Carmine</x:v>
      </x:c>
      <x:c r="F24" s="63" t="str"/>
      <x:c r="G24" s="63" t="str"/>
      <x:c r="H24" s="63" t="n">
        <x:v>0</x:v>
      </x:c>
      <x:c r="I24" s="72" t="str">
        <x:f>IF(OR(G24="",G24&lt;1,G24&gt;5),"",CHOOSE(G24,9,6,4,2,1)+2*IF(H24="",0,H24))</x:f>
      </x:c>
      <x:c r="J24" s="63" t="str"/>
    </x:row>
    <x:row r="25">
      <x:c r="A25" s="72" t="n">
        <x:v>1</x:v>
      </x:c>
      <x:c r="B25" s="72" t="str">
        <x:v>E</x:v>
      </x:c>
      <x:c r="C25" s="72" t="n">
        <x:v>1</x:v>
      </x:c>
      <x:c r="D25" s="72" t="n">
        <x:v>21</x:v>
      </x:c>
      <x:c r="E25" s="72" t="str">
        <x:f>IFERROR(IF(VLOOKUP(D25,Giocatori!$A$4:$C$73,2,FALSE)&lt;&gt;"",VLOOKUP(D25,Giocatori!$A$4:$C$73,2,FALSE),"Giocatore "&amp;D25),"Giocatore "&amp;D25)</x:f>
        <x:v>Tufano Raffaele</x:v>
      </x:c>
      <x:c r="F25" s="63" t="str"/>
      <x:c r="G25" s="63" t="str"/>
      <x:c r="H25" s="63" t="n">
        <x:v>0</x:v>
      </x:c>
      <x:c r="I25" s="72" t="str">
        <x:f>IF(OR(G25="",G25&lt;1,G25&gt;5),"",CHOOSE(G25,9,6,4,2,1)+2*IF(H25="",0,H25))</x:f>
      </x:c>
      <x:c r="J25" s="63" t="str"/>
    </x:row>
    <x:row r="26">
      <x:c r="A26" s="72" t="n">
        <x:v>1</x:v>
      </x:c>
      <x:c r="B26" s="72" t="str">
        <x:v>E</x:v>
      </x:c>
      <x:c r="C26" s="72" t="n">
        <x:v>2</x:v>
      </x:c>
      <x:c r="D26" s="72" t="n">
        <x:v>22</x:v>
      </x:c>
      <x:c r="E26" s="72" t="str">
        <x:f>IFERROR(IF(VLOOKUP(D26,Giocatori!$A$4:$C$73,2,FALSE)&lt;&gt;"",VLOOKUP(D26,Giocatori!$A$4:$C$73,2,FALSE),"Giocatore "&amp;D26),"Giocatore "&amp;D26)</x:f>
        <x:v>Napolitano Antonio</x:v>
      </x:c>
      <x:c r="F26" s="63" t="str"/>
      <x:c r="G26" s="63" t="str"/>
      <x:c r="H26" s="63" t="n">
        <x:v>0</x:v>
      </x:c>
      <x:c r="I26" s="72" t="str">
        <x:f>IF(OR(G26="",G26&lt;1,G26&gt;5),"",CHOOSE(G26,9,6,4,2,1)+2*IF(H26="",0,H26))</x:f>
      </x:c>
      <x:c r="J26" s="63" t="str"/>
    </x:row>
    <x:row r="27">
      <x:c r="A27" s="72" t="n">
        <x:v>1</x:v>
      </x:c>
      <x:c r="B27" s="72" t="str">
        <x:v>E</x:v>
      </x:c>
      <x:c r="C27" s="72" t="n">
        <x:v>3</x:v>
      </x:c>
      <x:c r="D27" s="72" t="n">
        <x:v>23</x:v>
      </x:c>
      <x:c r="E27" s="72" t="str">
        <x:f>IFERROR(IF(VLOOKUP(D27,Giocatori!$A$4:$C$73,2,FALSE)&lt;&gt;"",VLOOKUP(D27,Giocatori!$A$4:$C$73,2,FALSE),"Giocatore "&amp;D27),"Giocatore "&amp;D27)</x:f>
        <x:v>Notaro Massimo</x:v>
      </x:c>
      <x:c r="F27" s="63" t="str"/>
      <x:c r="G27" s="63" t="str"/>
      <x:c r="H27" s="63" t="n">
        <x:v>0</x:v>
      </x:c>
      <x:c r="I27" s="72" t="str">
        <x:f>IF(OR(G27="",G27&lt;1,G27&gt;5),"",CHOOSE(G27,9,6,4,2,1)+2*IF(H27="",0,H27))</x:f>
      </x:c>
      <x:c r="J27" s="63" t="str"/>
    </x:row>
    <x:row r="28">
      <x:c r="A28" s="72" t="n">
        <x:v>1</x:v>
      </x:c>
      <x:c r="B28" s="72" t="str">
        <x:v>E</x:v>
      </x:c>
      <x:c r="C28" s="72" t="n">
        <x:v>4</x:v>
      </x:c>
      <x:c r="D28" s="72" t="n">
        <x:v>24</x:v>
      </x:c>
      <x:c r="E28" s="72" t="str">
        <x:f>IFERROR(IF(VLOOKUP(D28,Giocatori!$A$4:$C$73,2,FALSE)&lt;&gt;"",VLOOKUP(D28,Giocatori!$A$4:$C$73,2,FALSE),"Giocatore "&amp;D28),"Giocatore "&amp;D28)</x:f>
        <x:v>Pierro Giuseppe</x:v>
      </x:c>
      <x:c r="F28" s="63" t="str"/>
      <x:c r="G28" s="63" t="str"/>
      <x:c r="H28" s="63" t="n">
        <x:v>0</x:v>
      </x:c>
      <x:c r="I28" s="72" t="str">
        <x:f>IF(OR(G28="",G28&lt;1,G28&gt;5),"",CHOOSE(G28,9,6,4,2,1)+2*IF(H28="",0,H28))</x:f>
      </x:c>
      <x:c r="J28" s="63" t="str"/>
    </x:row>
    <x:row r="29">
      <x:c r="A29" s="72" t="n">
        <x:v>1</x:v>
      </x:c>
      <x:c r="B29" s="72" t="str">
        <x:v>E</x:v>
      </x:c>
      <x:c r="C29" s="72" t="n">
        <x:v>5</x:v>
      </x:c>
      <x:c r="D29" s="72" t="n">
        <x:v>25</x:v>
      </x:c>
      <x:c r="E29" s="72" t="str">
        <x:f>IFERROR(IF(VLOOKUP(D29,Giocatori!$A$4:$C$73,2,FALSE)&lt;&gt;"",VLOOKUP(D29,Giocatori!$A$4:$C$73,2,FALSE),"Giocatore "&amp;D29),"Giocatore "&amp;D29)</x:f>
        <x:v>Giugliano Francesco</x:v>
      </x:c>
      <x:c r="F29" s="63" t="str"/>
      <x:c r="G29" s="63" t="str"/>
      <x:c r="H29" s="63" t="n">
        <x:v>0</x:v>
      </x:c>
      <x:c r="I29" s="72" t="str">
        <x:f>IF(OR(G29="",G29&lt;1,G29&gt;5),"",CHOOSE(G29,9,6,4,2,1)+2*IF(H29="",0,H29))</x:f>
      </x:c>
      <x:c r="J29" s="63" t="str"/>
    </x:row>
    <x:row r="30">
      <x:c r="A30" s="72" t="n">
        <x:v>1</x:v>
      </x:c>
      <x:c r="B30" s="72" t="str">
        <x:v>F</x:v>
      </x:c>
      <x:c r="C30" s="72" t="n">
        <x:v>1</x:v>
      </x:c>
      <x:c r="D30" s="72" t="n">
        <x:v>26</x:v>
      </x:c>
      <x:c r="E30" s="72" t="str">
        <x:f>IFERROR(IF(VLOOKUP(D30,Giocatori!$A$4:$C$73,2,FALSE)&lt;&gt;"",VLOOKUP(D30,Giocatori!$A$4:$C$73,2,FALSE),"Giocatore "&amp;D30),"Giocatore "&amp;D30)</x:f>
        <x:v>Gesso Marco</x:v>
      </x:c>
      <x:c r="F30" s="63" t="str"/>
      <x:c r="G30" s="63" t="str"/>
      <x:c r="H30" s="63" t="n">
        <x:v>0</x:v>
      </x:c>
      <x:c r="I30" s="72" t="str">
        <x:f>IF(OR(G30="",G30&lt;1,G30&gt;5),"",CHOOSE(G30,9,6,4,2,1)+2*IF(H30="",0,H30))</x:f>
      </x:c>
      <x:c r="J30" s="63" t="str"/>
    </x:row>
    <x:row r="31">
      <x:c r="A31" s="72" t="n">
        <x:v>1</x:v>
      </x:c>
      <x:c r="B31" s="72" t="str">
        <x:v>F</x:v>
      </x:c>
      <x:c r="C31" s="72" t="n">
        <x:v>2</x:v>
      </x:c>
      <x:c r="D31" s="72" t="n">
        <x:v>27</x:v>
      </x:c>
      <x:c r="E31" s="72" t="str">
        <x:f>IFERROR(IF(VLOOKUP(D31,Giocatori!$A$4:$C$73,2,FALSE)&lt;&gt;"",VLOOKUP(D31,Giocatori!$A$4:$C$73,2,FALSE),"Giocatore "&amp;D31),"Giocatore "&amp;D31)</x:f>
        <x:v>Napolitano Angelo</x:v>
      </x:c>
      <x:c r="F31" s="63" t="str"/>
      <x:c r="G31" s="63" t="str"/>
      <x:c r="H31" s="63" t="n">
        <x:v>0</x:v>
      </x:c>
      <x:c r="I31" s="72" t="str">
        <x:f>IF(OR(G31="",G31&lt;1,G31&gt;5),"",CHOOSE(G31,9,6,4,2,1)+2*IF(H31="",0,H31))</x:f>
      </x:c>
      <x:c r="J31" s="63" t="str"/>
    </x:row>
    <x:row r="32">
      <x:c r="A32" s="72" t="n">
        <x:v>1</x:v>
      </x:c>
      <x:c r="B32" s="72" t="str">
        <x:v>F</x:v>
      </x:c>
      <x:c r="C32" s="72" t="n">
        <x:v>3</x:v>
      </x:c>
      <x:c r="D32" s="72" t="n">
        <x:v>28</x:v>
      </x:c>
      <x:c r="E32" s="72" t="str">
        <x:f>IFERROR(IF(VLOOKUP(D32,Giocatori!$A$4:$C$73,2,FALSE)&lt;&gt;"",VLOOKUP(D32,Giocatori!$A$4:$C$73,2,FALSE),"Giocatore "&amp;D32),"Giocatore "&amp;D32)</x:f>
        <x:v>Fontanella Carmine</x:v>
      </x:c>
      <x:c r="F32" s="63" t="str"/>
      <x:c r="G32" s="63" t="str"/>
      <x:c r="H32" s="63" t="n">
        <x:v>0</x:v>
      </x:c>
      <x:c r="I32" s="72" t="str">
        <x:f>IF(OR(G32="",G32&lt;1,G32&gt;5),"",CHOOSE(G32,9,6,4,2,1)+2*IF(H32="",0,H32))</x:f>
      </x:c>
      <x:c r="J32" s="63" t="str"/>
    </x:row>
    <x:row r="33">
      <x:c r="A33" s="72" t="n">
        <x:v>1</x:v>
      </x:c>
      <x:c r="B33" s="72" t="str">
        <x:v>F</x:v>
      </x:c>
      <x:c r="C33" s="72" t="n">
        <x:v>4</x:v>
      </x:c>
      <x:c r="D33" s="72" t="n">
        <x:v>29</x:v>
      </x:c>
      <x:c r="E33" s="72" t="str">
        <x:f>IFERROR(IF(VLOOKUP(D33,Giocatori!$A$4:$C$73,2,FALSE)&lt;&gt;"",VLOOKUP(D33,Giocatori!$A$4:$C$73,2,FALSE),"Giocatore "&amp;D33),"Giocatore "&amp;D33)</x:f>
        <x:v>Nappi Nestore</x:v>
      </x:c>
      <x:c r="F33" s="63" t="str"/>
      <x:c r="G33" s="63" t="str"/>
      <x:c r="H33" s="63" t="n">
        <x:v>0</x:v>
      </x:c>
      <x:c r="I33" s="72" t="str">
        <x:f>IF(OR(G33="",G33&lt;1,G33&gt;5),"",CHOOSE(G33,9,6,4,2,1)+2*IF(H33="",0,H33))</x:f>
      </x:c>
      <x:c r="J33" s="63" t="str"/>
    </x:row>
    <x:row r="34">
      <x:c r="A34" s="72" t="n">
        <x:v>1</x:v>
      </x:c>
      <x:c r="B34" s="72" t="str">
        <x:v>F</x:v>
      </x:c>
      <x:c r="C34" s="72" t="n">
        <x:v>5</x:v>
      </x:c>
      <x:c r="D34" s="72" t="n">
        <x:v>30</x:v>
      </x:c>
      <x:c r="E34" s="72" t="str">
        <x:f>IFERROR(IF(VLOOKUP(D34,Giocatori!$A$4:$C$73,2,FALSE)&lt;&gt;"",VLOOKUP(D34,Giocatori!$A$4:$C$73,2,FALSE),"Giocatore "&amp;D34),"Giocatore "&amp;D34)</x:f>
        <x:v>Tufano Giuseppe</x:v>
      </x:c>
      <x:c r="F34" s="63" t="str"/>
      <x:c r="G34" s="63" t="str"/>
      <x:c r="H34" s="63" t="n">
        <x:v>0</x:v>
      </x:c>
      <x:c r="I34" s="72" t="str">
        <x:f>IF(OR(G34="",G34&lt;1,G34&gt;5),"",CHOOSE(G34,9,6,4,2,1)+2*IF(H34="",0,H34))</x:f>
      </x:c>
      <x:c r="J34" s="63" t="str"/>
    </x:row>
    <x:row r="35">
      <x:c r="A35" s="72" t="n">
        <x:v>1</x:v>
      </x:c>
      <x:c r="B35" s="72" t="str">
        <x:v>G</x:v>
      </x:c>
      <x:c r="C35" s="72" t="n">
        <x:v>1</x:v>
      </x:c>
      <x:c r="D35" s="72" t="n">
        <x:v>31</x:v>
      </x:c>
      <x:c r="E35" s="72" t="str">
        <x:f>IFERROR(IF(VLOOKUP(D35,Giocatori!$A$4:$C$73,2,FALSE)&lt;&gt;"",VLOOKUP(D35,Giocatori!$A$4:$C$73,2,FALSE),"Giocatore "&amp;D35),"Giocatore "&amp;D35)</x:f>
        <x:v>Polacco Tommaso</x:v>
      </x:c>
      <x:c r="F35" s="63" t="str"/>
      <x:c r="G35" s="63" t="str"/>
      <x:c r="H35" s="63" t="n">
        <x:v>0</x:v>
      </x:c>
      <x:c r="I35" s="72" t="str">
        <x:f>IF(OR(G35="",G35&lt;1,G35&gt;5),"",CHOOSE(G35,9,6,4,2,1)+2*IF(H35="",0,H35))</x:f>
      </x:c>
      <x:c r="J35" s="63" t="str"/>
    </x:row>
    <x:row r="36">
      <x:c r="A36" s="72" t="n">
        <x:v>1</x:v>
      </x:c>
      <x:c r="B36" s="72" t="str">
        <x:v>G</x:v>
      </x:c>
      <x:c r="C36" s="72" t="n">
        <x:v>2</x:v>
      </x:c>
      <x:c r="D36" s="72" t="n">
        <x:v>32</x:v>
      </x:c>
      <x:c r="E36" s="72" t="str">
        <x:f>IFERROR(IF(VLOOKUP(D36,Giocatori!$A$4:$C$73,2,FALSE)&lt;&gt;"",VLOOKUP(D36,Giocatori!$A$4:$C$73,2,FALSE),"Giocatore "&amp;D36),"Giocatore "&amp;D36)</x:f>
        <x:v>Marotta Pasquale</x:v>
      </x:c>
      <x:c r="F36" s="63" t="str"/>
      <x:c r="G36" s="63" t="str"/>
      <x:c r="H36" s="63" t="n">
        <x:v>0</x:v>
      </x:c>
      <x:c r="I36" s="72" t="str">
        <x:f>IF(OR(G36="",G36&lt;1,G36&gt;5),"",CHOOSE(G36,9,6,4,2,1)+2*IF(H36="",0,H36))</x:f>
      </x:c>
      <x:c r="J36" s="63" t="str"/>
    </x:row>
    <x:row r="37">
      <x:c r="A37" s="72" t="n">
        <x:v>1</x:v>
      </x:c>
      <x:c r="B37" s="72" t="str">
        <x:v>G</x:v>
      </x:c>
      <x:c r="C37" s="72" t="n">
        <x:v>3</x:v>
      </x:c>
      <x:c r="D37" s="72" t="n">
        <x:v>33</x:v>
      </x:c>
      <x:c r="E37" s="72" t="str">
        <x:f>IFERROR(IF(VLOOKUP(D37,Giocatori!$A$4:$C$73,2,FALSE)&lt;&gt;"",VLOOKUP(D37,Giocatori!$A$4:$C$73,2,FALSE),"Giocatore "&amp;D37),"Giocatore "&amp;D37)</x:f>
        <x:v>Franzese Francesco</x:v>
      </x:c>
      <x:c r="F37" s="63" t="str"/>
      <x:c r="G37" s="63" t="str"/>
      <x:c r="H37" s="63" t="n">
        <x:v>0</x:v>
      </x:c>
      <x:c r="I37" s="72" t="str">
        <x:f>IF(OR(G37="",G37&lt;1,G37&gt;5),"",CHOOSE(G37,9,6,4,2,1)+2*IF(H37="",0,H37))</x:f>
      </x:c>
      <x:c r="J37" s="63" t="str"/>
    </x:row>
    <x:row r="38">
      <x:c r="A38" s="72" t="n">
        <x:v>1</x:v>
      </x:c>
      <x:c r="B38" s="72" t="str">
        <x:v>G</x:v>
      </x:c>
      <x:c r="C38" s="72" t="n">
        <x:v>4</x:v>
      </x:c>
      <x:c r="D38" s="72" t="n">
        <x:v>34</x:v>
      </x:c>
      <x:c r="E38" s="72" t="str">
        <x:f>IFERROR(IF(VLOOKUP(D38,Giocatori!$A$4:$C$73,2,FALSE)&lt;&gt;"",VLOOKUP(D38,Giocatori!$A$4:$C$73,2,FALSE),"Giocatore "&amp;D38),"Giocatore "&amp;D38)</x:f>
        <x:v>Fontanella Giuseppe</x:v>
      </x:c>
      <x:c r="F38" s="63" t="str"/>
      <x:c r="G38" s="63" t="str"/>
      <x:c r="H38" s="63" t="n">
        <x:v>0</x:v>
      </x:c>
      <x:c r="I38" s="72" t="str">
        <x:f>IF(OR(G38="",G38&lt;1,G38&gt;5),"",CHOOSE(G38,9,6,4,2,1)+2*IF(H38="",0,H38))</x:f>
      </x:c>
      <x:c r="J38" s="63" t="str"/>
    </x:row>
    <x:row r="39">
      <x:c r="A39" s="72" t="n">
        <x:v>1</x:v>
      </x:c>
      <x:c r="B39" s="72" t="str">
        <x:v>G</x:v>
      </x:c>
      <x:c r="C39" s="72" t="n">
        <x:v>5</x:v>
      </x:c>
      <x:c r="D39" s="72" t="n">
        <x:v>35</x:v>
      </x:c>
      <x:c r="E39" s="72" t="str">
        <x:f>IFERROR(IF(VLOOKUP(D39,Giocatori!$A$4:$C$73,2,FALSE)&lt;&gt;"",VLOOKUP(D39,Giocatori!$A$4:$C$73,2,FALSE),"Giocatore "&amp;D39),"Giocatore "&amp;D39)</x:f>
        <x:v>Panico Giuseppe</x:v>
      </x:c>
      <x:c r="F39" s="63" t="str"/>
      <x:c r="G39" s="63" t="str"/>
      <x:c r="H39" s="63" t="n">
        <x:v>0</x:v>
      </x:c>
      <x:c r="I39" s="72" t="str">
        <x:f>IF(OR(G39="",G39&lt;1,G39&gt;5),"",CHOOSE(G39,9,6,4,2,1)+2*IF(H39="",0,H39))</x:f>
      </x:c>
      <x:c r="J39" s="63" t="str"/>
    </x:row>
    <x:row r="40">
      <x:c r="A40" s="72" t="n">
        <x:v>1</x:v>
      </x:c>
      <x:c r="B40" s="72" t="str">
        <x:v>H</x:v>
      </x:c>
      <x:c r="C40" s="72" t="n">
        <x:v>1</x:v>
      </x:c>
      <x:c r="D40" s="72" t="n">
        <x:v>36</x:v>
      </x:c>
      <x:c r="E40" s="72" t="str">
        <x:f>IFERROR(IF(VLOOKUP(D40,Giocatori!$A$4:$C$73,2,FALSE)&lt;&gt;"",VLOOKUP(D40,Giocatori!$A$4:$C$73,2,FALSE),"Giocatore "&amp;D40),"Giocatore "&amp;D40)</x:f>
        <x:v>Moccia Biagio</x:v>
      </x:c>
      <x:c r="F40" s="63" t="str"/>
      <x:c r="G40" s="63" t="str"/>
      <x:c r="H40" s="63" t="n">
        <x:v>0</x:v>
      </x:c>
      <x:c r="I40" s="72" t="str">
        <x:f>IF(OR(G40="",G40&lt;1,G40&gt;5),"",CHOOSE(G40,9,6,4,2,1)+2*IF(H40="",0,H40))</x:f>
      </x:c>
      <x:c r="J40" s="63" t="str"/>
    </x:row>
    <x:row r="41">
      <x:c r="A41" s="72" t="n">
        <x:v>1</x:v>
      </x:c>
      <x:c r="B41" s="72" t="str">
        <x:v>H</x:v>
      </x:c>
      <x:c r="C41" s="72" t="n">
        <x:v>2</x:v>
      </x:c>
      <x:c r="D41" s="72" t="n">
        <x:v>37</x:v>
      </x:c>
      <x:c r="E41" s="72" t="str">
        <x:f>IFERROR(IF(VLOOKUP(D41,Giocatori!$A$4:$C$73,2,FALSE)&lt;&gt;"",VLOOKUP(D41,Giocatori!$A$4:$C$73,2,FALSE),"Giocatore "&amp;D41),"Giocatore "&amp;D41)</x:f>
        <x:v>Spallone Carmine</x:v>
      </x:c>
      <x:c r="F41" s="63" t="str"/>
      <x:c r="G41" s="63" t="str"/>
      <x:c r="H41" s="63" t="n">
        <x:v>0</x:v>
      </x:c>
      <x:c r="I41" s="72" t="str">
        <x:f>IF(OR(G41="",G41&lt;1,G41&gt;5),"",CHOOSE(G41,9,6,4,2,1)+2*IF(H41="",0,H41))</x:f>
      </x:c>
      <x:c r="J41" s="63" t="str"/>
    </x:row>
    <x:row r="42">
      <x:c r="A42" s="72" t="n">
        <x:v>1</x:v>
      </x:c>
      <x:c r="B42" s="72" t="str">
        <x:v>H</x:v>
      </x:c>
      <x:c r="C42" s="72" t="n">
        <x:v>3</x:v>
      </x:c>
      <x:c r="D42" s="72" t="n">
        <x:v>38</x:v>
      </x:c>
      <x:c r="E42" s="72" t="str">
        <x:f>IFERROR(IF(VLOOKUP(D42,Giocatori!$A$4:$C$73,2,FALSE)&lt;&gt;"",VLOOKUP(D42,Giocatori!$A$4:$C$73,2,FALSE),"Giocatore "&amp;D42),"Giocatore "&amp;D42)</x:f>
        <x:v>Mauro Nicola</x:v>
      </x:c>
      <x:c r="F42" s="63" t="str"/>
      <x:c r="G42" s="63" t="str"/>
      <x:c r="H42" s="63" t="n">
        <x:v>0</x:v>
      </x:c>
      <x:c r="I42" s="72" t="str">
        <x:f>IF(OR(G42="",G42&lt;1,G42&gt;5),"",CHOOSE(G42,9,6,4,2,1)+2*IF(H42="",0,H42))</x:f>
      </x:c>
      <x:c r="J42" s="63" t="str"/>
    </x:row>
    <x:row r="43">
      <x:c r="A43" s="72" t="n">
        <x:v>1</x:v>
      </x:c>
      <x:c r="B43" s="72" t="str">
        <x:v>H</x:v>
      </x:c>
      <x:c r="C43" s="72" t="n">
        <x:v>4</x:v>
      </x:c>
      <x:c r="D43" s="72" t="n">
        <x:v>39</x:v>
      </x:c>
      <x:c r="E43" s="72" t="str">
        <x:f>IFERROR(IF(VLOOKUP(D43,Giocatori!$A$4:$C$73,2,FALSE)&lt;&gt;"",VLOOKUP(D43,Giocatori!$A$4:$C$73,2,FALSE),"Giocatore "&amp;D43),"Giocatore "&amp;D43)</x:f>
        <x:v>Ambrosino Lello</x:v>
      </x:c>
      <x:c r="F43" s="63" t="str"/>
      <x:c r="G43" s="63" t="str"/>
      <x:c r="H43" s="63" t="n">
        <x:v>0</x:v>
      </x:c>
      <x:c r="I43" s="72" t="str">
        <x:f>IF(OR(G43="",G43&lt;1,G43&gt;5),"",CHOOSE(G43,9,6,4,2,1)+2*IF(H43="",0,H43))</x:f>
      </x:c>
      <x:c r="J43" s="63" t="str"/>
    </x:row>
    <x:row r="44">
      <x:c r="A44" s="72" t="n">
        <x:v>1</x:v>
      </x:c>
      <x:c r="B44" s="72" t="str">
        <x:v>H</x:v>
      </x:c>
      <x:c r="C44" s="72" t="n">
        <x:v>5</x:v>
      </x:c>
      <x:c r="D44" s="72" t="n">
        <x:v>40</x:v>
      </x:c>
      <x:c r="E44" s="72" t="str">
        <x:f>IFERROR(IF(VLOOKUP(D44,Giocatori!$A$4:$C$73,2,FALSE)&lt;&gt;"",VLOOKUP(D44,Giocatori!$A$4:$C$73,2,FALSE),"Giocatore "&amp;D44),"Giocatore "&amp;D44)</x:f>
        <x:v>Carbone Felice</x:v>
      </x:c>
      <x:c r="F44" s="63" t="str"/>
      <x:c r="G44" s="63" t="str"/>
      <x:c r="H44" s="63" t="n">
        <x:v>0</x:v>
      </x:c>
      <x:c r="I44" s="72" t="str">
        <x:f>IF(OR(G44="",G44&lt;1,G44&gt;5),"",CHOOSE(G44,9,6,4,2,1)+2*IF(H44="",0,H44))</x:f>
      </x:c>
      <x:c r="J44" s="63" t="str"/>
    </x:row>
    <x:row r="45">
      <x:c r="A45" s="72" t="n">
        <x:v>1</x:v>
      </x:c>
      <x:c r="B45" s="72" t="str">
        <x:v>I</x:v>
      </x:c>
      <x:c r="C45" s="72" t="n">
        <x:v>1</x:v>
      </x:c>
      <x:c r="D45" s="72" t="n">
        <x:v>41</x:v>
      </x:c>
      <x:c r="E45" s="72" t="str">
        <x:f>IFERROR(IF(VLOOKUP(D45,Giocatori!$A$4:$C$73,2,FALSE)&lt;&gt;"",VLOOKUP(D45,Giocatori!$A$4:$C$73,2,FALSE),"Giocatore "&amp;D45),"Giocatore "&amp;D45)</x:f>
        <x:v>Nocerino Nunzio</x:v>
      </x:c>
      <x:c r="F45" s="63" t="str"/>
      <x:c r="G45" s="63" t="str"/>
      <x:c r="H45" s="63" t="n">
        <x:v>0</x:v>
      </x:c>
      <x:c r="I45" s="72" t="str">
        <x:f>IF(OR(G45="",G45&lt;1,G45&gt;5),"",CHOOSE(G45,9,6,4,2,1)+2*IF(H45="",0,H45))</x:f>
      </x:c>
      <x:c r="J45" s="63" t="str"/>
    </x:row>
    <x:row r="46">
      <x:c r="A46" s="72" t="n">
        <x:v>1</x:v>
      </x:c>
      <x:c r="B46" s="72" t="str">
        <x:v>I</x:v>
      </x:c>
      <x:c r="C46" s="72" t="n">
        <x:v>2</x:v>
      </x:c>
      <x:c r="D46" s="72" t="n">
        <x:v>42</x:v>
      </x:c>
      <x:c r="E46" s="72" t="str">
        <x:f>IFERROR(IF(VLOOKUP(D46,Giocatori!$A$4:$C$73,2,FALSE)&lt;&gt;"",VLOOKUP(D46,Giocatori!$A$4:$C$73,2,FALSE),"Giocatore "&amp;D46),"Giocatore "&amp;D46)</x:f>
        <x:v>Guerriero Giuseppe</x:v>
      </x:c>
      <x:c r="F46" s="63" t="str"/>
      <x:c r="G46" s="63" t="str"/>
      <x:c r="H46" s="63" t="n">
        <x:v>0</x:v>
      </x:c>
      <x:c r="I46" s="72" t="str">
        <x:f>IF(OR(G46="",G46&lt;1,G46&gt;5),"",CHOOSE(G46,9,6,4,2,1)+2*IF(H46="",0,H46))</x:f>
      </x:c>
      <x:c r="J46" s="63" t="str"/>
    </x:row>
    <x:row r="47">
      <x:c r="A47" s="72" t="n">
        <x:v>1</x:v>
      </x:c>
      <x:c r="B47" s="72" t="str">
        <x:v>I</x:v>
      </x:c>
      <x:c r="C47" s="72" t="n">
        <x:v>3</x:v>
      </x:c>
      <x:c r="D47" s="72" t="n">
        <x:v>43</x:v>
      </x:c>
      <x:c r="E47" s="72" t="str">
        <x:f>IFERROR(IF(VLOOKUP(D47,Giocatori!$A$4:$C$73,2,FALSE)&lt;&gt;"",VLOOKUP(D47,Giocatori!$A$4:$C$73,2,FALSE),"Giocatore "&amp;D47),"Giocatore "&amp;D47)</x:f>
        <x:v>Ruotolo Sabatino</x:v>
      </x:c>
      <x:c r="F47" s="63" t="str"/>
      <x:c r="G47" s="63" t="str"/>
      <x:c r="H47" s="63" t="n">
        <x:v>0</x:v>
      </x:c>
      <x:c r="I47" s="72" t="str">
        <x:f>IF(OR(G47="",G47&lt;1,G47&gt;5),"",CHOOSE(G47,9,6,4,2,1)+2*IF(H47="",0,H47))</x:f>
      </x:c>
      <x:c r="J47" s="63" t="str"/>
    </x:row>
    <x:row r="48">
      <x:c r="A48" s="72" t="n">
        <x:v>1</x:v>
      </x:c>
      <x:c r="B48" s="72" t="str">
        <x:v>I</x:v>
      </x:c>
      <x:c r="C48" s="72" t="n">
        <x:v>4</x:v>
      </x:c>
      <x:c r="D48" s="72" t="n">
        <x:v>44</x:v>
      </x:c>
      <x:c r="E48" s="72" t="str">
        <x:f>IFERROR(IF(VLOOKUP(D48,Giocatori!$A$4:$C$73,2,FALSE)&lt;&gt;"",VLOOKUP(D48,Giocatori!$A$4:$C$73,2,FALSE),"Giocatore "&amp;D48),"Giocatore "&amp;D48)</x:f>
        <x:v>Abbate Michele</x:v>
      </x:c>
      <x:c r="F48" s="63" t="str"/>
      <x:c r="G48" s="63" t="str"/>
      <x:c r="H48" s="63" t="n">
        <x:v>0</x:v>
      </x:c>
      <x:c r="I48" s="72" t="str">
        <x:f>IF(OR(G48="",G48&lt;1,G48&gt;5),"",CHOOSE(G48,9,6,4,2,1)+2*IF(H48="",0,H48))</x:f>
      </x:c>
      <x:c r="J48" s="63" t="str"/>
    </x:row>
    <x:row r="49">
      <x:c r="A49" s="72" t="n">
        <x:v>1</x:v>
      </x:c>
      <x:c r="B49" s="72" t="str">
        <x:v>I</x:v>
      </x:c>
      <x:c r="C49" s="72" t="n">
        <x:v>5</x:v>
      </x:c>
      <x:c r="D49" s="72" t="n">
        <x:v>45</x:v>
      </x:c>
      <x:c r="E49" s="72" t="str">
        <x:f>IFERROR(IF(VLOOKUP(D49,Giocatori!$A$4:$C$73,2,FALSE)&lt;&gt;"",VLOOKUP(D49,Giocatori!$A$4:$C$73,2,FALSE),"Giocatore "&amp;D49),"Giocatore "&amp;D49)</x:f>
        <x:v>Isernia Antonio</x:v>
      </x:c>
      <x:c r="F49" s="63" t="str"/>
      <x:c r="G49" s="63" t="str"/>
      <x:c r="H49" s="63" t="n">
        <x:v>0</x:v>
      </x:c>
      <x:c r="I49" s="72" t="str">
        <x:f>IF(OR(G49="",G49&lt;1,G49&gt;5),"",CHOOSE(G49,9,6,4,2,1)+2*IF(H49="",0,H49))</x:f>
      </x:c>
      <x:c r="J49" s="63" t="str"/>
    </x:row>
    <x:row r="50">
      <x:c r="A50" s="72" t="n">
        <x:v>1</x:v>
      </x:c>
      <x:c r="B50" s="72" t="str">
        <x:v>J</x:v>
      </x:c>
      <x:c r="C50" s="72" t="n">
        <x:v>1</x:v>
      </x:c>
      <x:c r="D50" s="72" t="n">
        <x:v>46</x:v>
      </x:c>
      <x:c r="E50" s="72" t="str">
        <x:f>IFERROR(IF(VLOOKUP(D50,Giocatori!$A$4:$C$73,2,FALSE)&lt;&gt;"",VLOOKUP(D50,Giocatori!$A$4:$C$73,2,FALSE),"Giocatore "&amp;D50),"Giocatore "&amp;D50)</x:f>
        <x:v>Cafarelli Manolo</x:v>
      </x:c>
      <x:c r="F50" s="63" t="str"/>
      <x:c r="G50" s="63" t="str"/>
      <x:c r="H50" s="63" t="n">
        <x:v>0</x:v>
      </x:c>
      <x:c r="I50" s="72" t="str">
        <x:f>IF(OR(G50="",G50&lt;1,G50&gt;5),"",CHOOSE(G50,9,6,4,2,1)+2*IF(H50="",0,H50))</x:f>
      </x:c>
      <x:c r="J50" s="63" t="str"/>
    </x:row>
    <x:row r="51">
      <x:c r="A51" s="72" t="n">
        <x:v>1</x:v>
      </x:c>
      <x:c r="B51" s="72" t="str">
        <x:v>J</x:v>
      </x:c>
      <x:c r="C51" s="72" t="n">
        <x:v>2</x:v>
      </x:c>
      <x:c r="D51" s="72" t="n">
        <x:v>47</x:v>
      </x:c>
      <x:c r="E51" s="72" t="str">
        <x:f>IFERROR(IF(VLOOKUP(D51,Giocatori!$A$4:$C$73,2,FALSE)&lt;&gt;"",VLOOKUP(D51,Giocatori!$A$4:$C$73,2,FALSE),"Giocatore "&amp;D51),"Giocatore "&amp;D51)</x:f>
        <x:v>Casoria Felice</x:v>
      </x:c>
      <x:c r="F51" s="63" t="str"/>
      <x:c r="G51" s="63" t="str"/>
      <x:c r="H51" s="63" t="n">
        <x:v>0</x:v>
      </x:c>
      <x:c r="I51" s="72" t="str">
        <x:f>IF(OR(G51="",G51&lt;1,G51&gt;5),"",CHOOSE(G51,9,6,4,2,1)+2*IF(H51="",0,H51))</x:f>
      </x:c>
      <x:c r="J51" s="63" t="str"/>
    </x:row>
    <x:row r="52">
      <x:c r="A52" s="72" t="n">
        <x:v>1</x:v>
      </x:c>
      <x:c r="B52" s="72" t="str">
        <x:v>J</x:v>
      </x:c>
      <x:c r="C52" s="72" t="n">
        <x:v>3</x:v>
      </x:c>
      <x:c r="D52" s="72" t="n">
        <x:v>48</x:v>
      </x:c>
      <x:c r="E52" s="72" t="str">
        <x:f>IFERROR(IF(VLOOKUP(D52,Giocatori!$A$4:$C$73,2,FALSE)&lt;&gt;"",VLOOKUP(D52,Giocatori!$A$4:$C$73,2,FALSE),"Giocatore "&amp;D52),"Giocatore "&amp;D52)</x:f>
        <x:v>Nspolitano Carlo</x:v>
      </x:c>
      <x:c r="F52" s="63" t="str"/>
      <x:c r="G52" s="63" t="str"/>
      <x:c r="H52" s="63" t="n">
        <x:v>0</x:v>
      </x:c>
      <x:c r="I52" s="72" t="str">
        <x:f>IF(OR(G52="",G52&lt;1,G52&gt;5),"",CHOOSE(G52,9,6,4,2,1)+2*IF(H52="",0,H52))</x:f>
      </x:c>
      <x:c r="J52" s="63" t="str"/>
    </x:row>
    <x:row r="53">
      <x:c r="A53" s="72" t="n">
        <x:v>1</x:v>
      </x:c>
      <x:c r="B53" s="72" t="str">
        <x:v>J</x:v>
      </x:c>
      <x:c r="C53" s="72" t="n">
        <x:v>4</x:v>
      </x:c>
      <x:c r="D53" s="72" t="n">
        <x:v>49</x:v>
      </x:c>
      <x:c r="E53" s="72" t="str">
        <x:f>IFERROR(IF(VLOOKUP(D53,Giocatori!$A$4:$C$73,2,FALSE)&lt;&gt;"",VLOOKUP(D53,Giocatori!$A$4:$C$73,2,FALSE),"Giocatore "&amp;D53),"Giocatore "&amp;D53)</x:f>
        <x:v>Tufano Michele</x:v>
      </x:c>
      <x:c r="F53" s="63" t="str"/>
      <x:c r="G53" s="63" t="str"/>
      <x:c r="H53" s="63" t="n">
        <x:v>0</x:v>
      </x:c>
      <x:c r="I53" s="72" t="str">
        <x:f>IF(OR(G53="",G53&lt;1,G53&gt;5),"",CHOOSE(G53,9,6,4,2,1)+2*IF(H53="",0,H53))</x:f>
      </x:c>
      <x:c r="J53" s="63" t="str"/>
    </x:row>
    <x:row r="54">
      <x:c r="A54" s="72" t="n">
        <x:v>1</x:v>
      </x:c>
      <x:c r="B54" s="72" t="str">
        <x:v>J</x:v>
      </x:c>
      <x:c r="C54" s="72" t="n">
        <x:v>5</x:v>
      </x:c>
      <x:c r="D54" s="72" t="n">
        <x:v>50</x:v>
      </x:c>
      <x:c r="E54" s="72" t="str">
        <x:f>IFERROR(IF(VLOOKUP(D54,Giocatori!$A$4:$C$73,2,FALSE)&lt;&gt;"",VLOOKUP(D54,Giocatori!$A$4:$C$73,2,FALSE),"Giocatore "&amp;D54),"Giocatore "&amp;D54)</x:f>
        <x:v>Bartolo</x:v>
      </x:c>
      <x:c r="F54" s="63" t="str"/>
      <x:c r="G54" s="63" t="str"/>
      <x:c r="H54" s="63" t="n">
        <x:v>0</x:v>
      </x:c>
      <x:c r="I54" s="72" t="str">
        <x:f>IF(OR(G54="",G54&lt;1,G54&gt;5),"",CHOOSE(G54,9,6,4,2,1)+2*IF(H54="",0,H54))</x:f>
      </x:c>
      <x:c r="J54" s="63" t="str"/>
    </x:row>
    <x:row r="55">
      <x:c r="A55" s="72" t="n">
        <x:v>1</x:v>
      </x:c>
      <x:c r="B55" s="72" t="str">
        <x:v>K</x:v>
      </x:c>
      <x:c r="C55" s="72" t="n">
        <x:v>1</x:v>
      </x:c>
      <x:c r="D55" s="72" t="n">
        <x:v>51</x:v>
      </x:c>
      <x:c r="E55" s="72" t="str">
        <x:f>IFERROR(IF(VLOOKUP(D55,Giocatori!$A$4:$C$73,2,FALSE)&lt;&gt;"",VLOOKUP(D55,Giocatori!$A$4:$C$73,2,FALSE),"Giocatore "&amp;D55),"Giocatore "&amp;D55)</x:f>
        <x:v>Domenico</x:v>
      </x:c>
      <x:c r="F55" s="63" t="str"/>
      <x:c r="G55" s="63" t="str"/>
      <x:c r="H55" s="63" t="n">
        <x:v>0</x:v>
      </x:c>
      <x:c r="I55" s="72" t="str">
        <x:f>IF(OR(G55="",G55&lt;1,G55&gt;5),"",CHOOSE(G55,9,6,4,2,1)+2*IF(H55="",0,H55))</x:f>
      </x:c>
      <x:c r="J55" s="63" t="str"/>
    </x:row>
    <x:row r="56">
      <x:c r="A56" s="72" t="n">
        <x:v>1</x:v>
      </x:c>
      <x:c r="B56" s="72" t="str">
        <x:v>K</x:v>
      </x:c>
      <x:c r="C56" s="72" t="n">
        <x:v>2</x:v>
      </x:c>
      <x:c r="D56" s="72" t="n">
        <x:v>52</x:v>
      </x:c>
      <x:c r="E56" s="72" t="str">
        <x:f>IFERROR(IF(VLOOKUP(D56,Giocatori!$A$4:$C$73,2,FALSE)&lt;&gt;"",VLOOKUP(D56,Giocatori!$A$4:$C$73,2,FALSE),"Giocatore "&amp;D56),"Giocatore "&amp;D56)</x:f>
        <x:v>Montanera Michele</x:v>
      </x:c>
      <x:c r="F56" s="63" t="str"/>
      <x:c r="G56" s="63" t="str"/>
      <x:c r="H56" s="63" t="n">
        <x:v>0</x:v>
      </x:c>
      <x:c r="I56" s="72" t="str">
        <x:f>IF(OR(G56="",G56&lt;1,G56&gt;5),"",CHOOSE(G56,9,6,4,2,1)+2*IF(H56="",0,H56))</x:f>
      </x:c>
      <x:c r="J56" s="63" t="str"/>
    </x:row>
    <x:row r="57">
      <x:c r="A57" s="72" t="n">
        <x:v>1</x:v>
      </x:c>
      <x:c r="B57" s="72" t="str">
        <x:v>K</x:v>
      </x:c>
      <x:c r="C57" s="72" t="n">
        <x:v>3</x:v>
      </x:c>
      <x:c r="D57" s="72" t="n">
        <x:v>53</x:v>
      </x:c>
      <x:c r="E57" s="72" t="str">
        <x:f>IFERROR(IF(VLOOKUP(D57,Giocatori!$A$4:$C$73,2,FALSE)&lt;&gt;"",VLOOKUP(D57,Giocatori!$A$4:$C$73,2,FALSE),"Giocatore "&amp;D57),"Giocatore "&amp;D57)</x:f>
        <x:v>Gaita Rossano</x:v>
      </x:c>
      <x:c r="F57" s="63" t="str"/>
      <x:c r="G57" s="63" t="str"/>
      <x:c r="H57" s="63" t="n">
        <x:v>0</x:v>
      </x:c>
      <x:c r="I57" s="72" t="str">
        <x:f>IF(OR(G57="",G57&lt;1,G57&gt;5),"",CHOOSE(G57,9,6,4,2,1)+2*IF(H57="",0,H57))</x:f>
      </x:c>
      <x:c r="J57" s="63" t="str"/>
    </x:row>
    <x:row r="58">
      <x:c r="A58" s="72" t="n">
        <x:v>1</x:v>
      </x:c>
      <x:c r="B58" s="72" t="str">
        <x:v>K</x:v>
      </x:c>
      <x:c r="C58" s="72" t="n">
        <x:v>4</x:v>
      </x:c>
      <x:c r="D58" s="72" t="n">
        <x:v>54</x:v>
      </x:c>
      <x:c r="E58" s="72" t="str">
        <x:f>IFERROR(IF(VLOOKUP(D58,Giocatori!$A$4:$C$73,2,FALSE)&lt;&gt;"",VLOOKUP(D58,Giocatori!$A$4:$C$73,2,FALSE),"Giocatore "&amp;D58),"Giocatore "&amp;D58)</x:f>
        <x:v>Giugliano Domenico</x:v>
      </x:c>
      <x:c r="F58" s="63" t="str"/>
      <x:c r="G58" s="63" t="str"/>
      <x:c r="H58" s="63" t="n">
        <x:v>0</x:v>
      </x:c>
      <x:c r="I58" s="72" t="str">
        <x:f>IF(OR(G58="",G58&lt;1,G58&gt;5),"",CHOOSE(G58,9,6,4,2,1)+2*IF(H58="",0,H58))</x:f>
      </x:c>
      <x:c r="J58" s="63" t="str"/>
    </x:row>
    <x:row r="59">
      <x:c r="A59" s="72" t="n">
        <x:v>1</x:v>
      </x:c>
      <x:c r="B59" s="72" t="str">
        <x:v>K</x:v>
      </x:c>
      <x:c r="C59" s="72" t="n">
        <x:v>5</x:v>
      </x:c>
      <x:c r="D59" s="72" t="n">
        <x:v>55</x:v>
      </x:c>
      <x:c r="E59" s="72" t="str">
        <x:f>IFERROR(IF(VLOOKUP(D59,Giocatori!$A$4:$C$73,2,FALSE)&lt;&gt;"",VLOOKUP(D59,Giocatori!$A$4:$C$73,2,FALSE),"Giocatore "&amp;D59),"Giocatore "&amp;D59)</x:f>
        <x:v>Montanera Raffaele</x:v>
      </x:c>
      <x:c r="F59" s="63" t="str"/>
      <x:c r="G59" s="63" t="str"/>
      <x:c r="H59" s="63" t="n">
        <x:v>0</x:v>
      </x:c>
      <x:c r="I59" s="72" t="str">
        <x:f>IF(OR(G59="",G59&lt;1,G59&gt;5),"",CHOOSE(G59,9,6,4,2,1)+2*IF(H59="",0,H59))</x:f>
      </x:c>
      <x:c r="J59" s="63" t="str"/>
    </x:row>
    <x:row r="60">
      <x:c r="A60" s="72" t="n">
        <x:v>1</x:v>
      </x:c>
      <x:c r="B60" s="72" t="str">
        <x:v>L</x:v>
      </x:c>
      <x:c r="C60" s="72" t="n">
        <x:v>1</x:v>
      </x:c>
      <x:c r="D60" s="72" t="n">
        <x:v>56</x:v>
      </x:c>
      <x:c r="E60" s="72" t="str">
        <x:f>IFERROR(IF(VLOOKUP(D60,Giocatori!$A$4:$C$73,2,FALSE)&lt;&gt;"",VLOOKUP(D60,Giocatori!$A$4:$C$73,2,FALSE),"Giocatore "&amp;D60),"Giocatore "&amp;D60)</x:f>
        <x:v>Oreste</x:v>
      </x:c>
      <x:c r="F60" s="63" t="str"/>
      <x:c r="G60" s="63" t="str"/>
      <x:c r="H60" s="63" t="n">
        <x:v>0</x:v>
      </x:c>
      <x:c r="I60" s="72" t="str">
        <x:f>IF(OR(G60="",G60&lt;1,G60&gt;5),"",CHOOSE(G60,9,6,4,2,1)+2*IF(H60="",0,H60))</x:f>
      </x:c>
      <x:c r="J60" s="63" t="str"/>
    </x:row>
    <x:row r="61">
      <x:c r="A61" s="72" t="n">
        <x:v>1</x:v>
      </x:c>
      <x:c r="B61" s="72" t="str">
        <x:v>L</x:v>
      </x:c>
      <x:c r="C61" s="72" t="n">
        <x:v>2</x:v>
      </x:c>
      <x:c r="D61" s="72" t="n">
        <x:v>57</x:v>
      </x:c>
      <x:c r="E61" s="72" t="str">
        <x:f>IFERROR(IF(VLOOKUP(D61,Giocatori!$A$4:$C$73,2,FALSE)&lt;&gt;"",VLOOKUP(D61,Giocatori!$A$4:$C$73,2,FALSE),"Giocatore "&amp;D61),"Giocatore "&amp;D61)</x:f>
        <x:v>Sirico Crescenzo</x:v>
      </x:c>
      <x:c r="F61" s="63" t="str"/>
      <x:c r="G61" s="63" t="str"/>
      <x:c r="H61" s="63" t="n">
        <x:v>0</x:v>
      </x:c>
      <x:c r="I61" s="72" t="str">
        <x:f>IF(OR(G61="",G61&lt;1,G61&gt;5),"",CHOOSE(G61,9,6,4,2,1)+2*IF(H61="",0,H61))</x:f>
      </x:c>
      <x:c r="J61" s="63" t="str"/>
    </x:row>
    <x:row r="62">
      <x:c r="A62" s="72" t="n">
        <x:v>1</x:v>
      </x:c>
      <x:c r="B62" s="72" t="str">
        <x:v>L</x:v>
      </x:c>
      <x:c r="C62" s="72" t="n">
        <x:v>3</x:v>
      </x:c>
      <x:c r="D62" s="72" t="n">
        <x:v>58</x:v>
      </x:c>
      <x:c r="E62" s="72" t="str">
        <x:f>IFERROR(IF(VLOOKUP(D62,Giocatori!$A$4:$C$73,2,FALSE)&lt;&gt;"",VLOOKUP(D62,Giocatori!$A$4:$C$73,2,FALSE),"Giocatore "&amp;D62),"Giocatore "&amp;D62)</x:f>
        <x:v>Mauro Salvatore</x:v>
      </x:c>
      <x:c r="F62" s="63" t="str"/>
      <x:c r="G62" s="63" t="str"/>
      <x:c r="H62" s="63" t="n">
        <x:v>0</x:v>
      </x:c>
      <x:c r="I62" s="72" t="str">
        <x:f>IF(OR(G62="",G62&lt;1,G62&gt;5),"",CHOOSE(G62,9,6,4,2,1)+2*IF(H62="",0,H62))</x:f>
      </x:c>
      <x:c r="J62" s="63" t="str"/>
    </x:row>
    <x:row r="63">
      <x:c r="A63" s="72" t="n">
        <x:v>1</x:v>
      </x:c>
      <x:c r="B63" s="72" t="str">
        <x:v>L</x:v>
      </x:c>
      <x:c r="C63" s="72" t="n">
        <x:v>4</x:v>
      </x:c>
      <x:c r="D63" s="72" t="n">
        <x:v>59</x:v>
      </x:c>
      <x:c r="E63" s="72" t="str">
        <x:f>IFERROR(IF(VLOOKUP(D63,Giocatori!$A$4:$C$73,2,FALSE)&lt;&gt;"",VLOOKUP(D63,Giocatori!$A$4:$C$73,2,FALSE),"Giocatore "&amp;D63),"Giocatore "&amp;D63)</x:f>
        <x:v>Angiero Anna</x:v>
      </x:c>
      <x:c r="F63" s="63" t="str"/>
      <x:c r="G63" s="63" t="str"/>
      <x:c r="H63" s="63" t="n">
        <x:v>0</x:v>
      </x:c>
      <x:c r="I63" s="72" t="str">
        <x:f>IF(OR(G63="",G63&lt;1,G63&gt;5),"",CHOOSE(G63,9,6,4,2,1)+2*IF(H63="",0,H63))</x:f>
      </x:c>
      <x:c r="J63" s="63" t="str"/>
    </x:row>
    <x:row r="64">
      <x:c r="A64" s="72" t="n">
        <x:v>1</x:v>
      </x:c>
      <x:c r="B64" s="72" t="str">
        <x:v>L</x:v>
      </x:c>
      <x:c r="C64" s="72" t="n">
        <x:v>5</x:v>
      </x:c>
      <x:c r="D64" s="72" t="n">
        <x:v>60</x:v>
      </x:c>
      <x:c r="E64" s="72" t="str">
        <x:f>IFERROR(IF(VLOOKUP(D64,Giocatori!$A$4:$C$73,2,FALSE)&lt;&gt;"",VLOOKUP(D64,Giocatori!$A$4:$C$73,2,FALSE),"Giocatore "&amp;D64),"Giocatore "&amp;D64)</x:f>
        <x:v>Di Grazia Salvatore</x:v>
      </x:c>
      <x:c r="F64" s="63" t="str"/>
      <x:c r="G64" s="63" t="str"/>
      <x:c r="H64" s="63" t="n">
        <x:v>0</x:v>
      </x:c>
      <x:c r="I64" s="72" t="str">
        <x:f>IF(OR(G64="",G64&lt;1,G64&gt;5),"",CHOOSE(G64,9,6,4,2,1)+2*IF(H64="",0,H64))</x:f>
      </x:c>
      <x:c r="J64" s="63" t="str"/>
    </x:row>
    <x:row r="65">
      <x:c r="A65" s="76" t="n">
        <x:v>2</x:v>
      </x:c>
      <x:c r="B65" s="76" t="str">
        <x:v>A</x:v>
      </x:c>
      <x:c r="C65" s="76" t="n">
        <x:v>1</x:v>
      </x:c>
      <x:c r="D65" s="76" t="n">
        <x:v>1</x:v>
      </x:c>
      <x:c r="E65" s="76" t="str">
        <x:f>IFERROR(IF(VLOOKUP(D65,Giocatori!$A$4:$C$73,2,FALSE)&lt;&gt;"",VLOOKUP(D65,Giocatori!$A$4:$C$73,2,FALSE),"Giocatore "&amp;D65),"Giocatore "&amp;D65)</x:f>
        <x:v>Annunziata Michele</x:v>
      </x:c>
      <x:c r="F65" s="77" t="str"/>
      <x:c r="G65" s="77" t="str"/>
      <x:c r="H65" s="77" t="n">
        <x:v>0</x:v>
      </x:c>
      <x:c r="I65" s="76" t="str">
        <x:f>IF(OR(G65="",G65&lt;1,G65&gt;5),"",CHOOSE(G65,9,6,4,2,1)+2*IF(H65="",0,H65))</x:f>
      </x:c>
      <x:c r="J65" s="77" t="str"/>
    </x:row>
    <x:row r="66">
      <x:c r="A66" s="72" t="n">
        <x:v>2</x:v>
      </x:c>
      <x:c r="B66" s="72" t="str">
        <x:v>A</x:v>
      </x:c>
      <x:c r="C66" s="72" t="n">
        <x:v>2</x:v>
      </x:c>
      <x:c r="D66" s="72" t="n">
        <x:v>57</x:v>
      </x:c>
      <x:c r="E66" s="72" t="str">
        <x:f>IFERROR(IF(VLOOKUP(D66,Giocatori!$A$4:$C$73,2,FALSE)&lt;&gt;"",VLOOKUP(D66,Giocatori!$A$4:$C$73,2,FALSE),"Giocatore "&amp;D66),"Giocatore "&amp;D66)</x:f>
        <x:v>Sirico Crescenzo</x:v>
      </x:c>
      <x:c r="F66" s="63" t="str"/>
      <x:c r="G66" s="63" t="str"/>
      <x:c r="H66" s="63" t="n">
        <x:v>0</x:v>
      </x:c>
      <x:c r="I66" s="72" t="str">
        <x:f>IF(OR(G66="",G66&lt;1,G66&gt;5),"",CHOOSE(G66,9,6,4,2,1)+2*IF(H66="",0,H66))</x:f>
      </x:c>
      <x:c r="J66" s="63" t="str"/>
    </x:row>
    <x:row r="67">
      <x:c r="A67" s="72" t="n">
        <x:v>2</x:v>
      </x:c>
      <x:c r="B67" s="72" t="str">
        <x:v>A</x:v>
      </x:c>
      <x:c r="C67" s="72" t="n">
        <x:v>3</x:v>
      </x:c>
      <x:c r="D67" s="72" t="n">
        <x:v>53</x:v>
      </x:c>
      <x:c r="E67" s="72" t="str">
        <x:f>IFERROR(IF(VLOOKUP(D67,Giocatori!$A$4:$C$73,2,FALSE)&lt;&gt;"",VLOOKUP(D67,Giocatori!$A$4:$C$73,2,FALSE),"Giocatore "&amp;D67),"Giocatore "&amp;D67)</x:f>
        <x:v>Gaita Rossano</x:v>
      </x:c>
      <x:c r="F67" s="63" t="str"/>
      <x:c r="G67" s="63" t="str"/>
      <x:c r="H67" s="63" t="n">
        <x:v>0</x:v>
      </x:c>
      <x:c r="I67" s="72" t="str">
        <x:f>IF(OR(G67="",G67&lt;1,G67&gt;5),"",CHOOSE(G67,9,6,4,2,1)+2*IF(H67="",0,H67))</x:f>
      </x:c>
      <x:c r="J67" s="63" t="str"/>
    </x:row>
    <x:row r="68">
      <x:c r="A68" s="72" t="n">
        <x:v>2</x:v>
      </x:c>
      <x:c r="B68" s="72" t="str">
        <x:v>A</x:v>
      </x:c>
      <x:c r="C68" s="72" t="n">
        <x:v>4</x:v>
      </x:c>
      <x:c r="D68" s="72" t="n">
        <x:v>49</x:v>
      </x:c>
      <x:c r="E68" s="72" t="str">
        <x:f>IFERROR(IF(VLOOKUP(D68,Giocatori!$A$4:$C$73,2,FALSE)&lt;&gt;"",VLOOKUP(D68,Giocatori!$A$4:$C$73,2,FALSE),"Giocatore "&amp;D68),"Giocatore "&amp;D68)</x:f>
        <x:v>Tufano Michele</x:v>
      </x:c>
      <x:c r="F68" s="63" t="str"/>
      <x:c r="G68" s="63" t="str"/>
      <x:c r="H68" s="63" t="n">
        <x:v>0</x:v>
      </x:c>
      <x:c r="I68" s="72" t="str">
        <x:f>IF(OR(G68="",G68&lt;1,G68&gt;5),"",CHOOSE(G68,9,6,4,2,1)+2*IF(H68="",0,H68))</x:f>
      </x:c>
      <x:c r="J68" s="63" t="str"/>
    </x:row>
    <x:row r="69">
      <x:c r="A69" s="72" t="n">
        <x:v>2</x:v>
      </x:c>
      <x:c r="B69" s="72" t="str">
        <x:v>A</x:v>
      </x:c>
      <x:c r="C69" s="72" t="n">
        <x:v>5</x:v>
      </x:c>
      <x:c r="D69" s="72" t="n">
        <x:v>45</x:v>
      </x:c>
      <x:c r="E69" s="72" t="str">
        <x:f>IFERROR(IF(VLOOKUP(D69,Giocatori!$A$4:$C$73,2,FALSE)&lt;&gt;"",VLOOKUP(D69,Giocatori!$A$4:$C$73,2,FALSE),"Giocatore "&amp;D69),"Giocatore "&amp;D69)</x:f>
        <x:v>Isernia Antonio</x:v>
      </x:c>
      <x:c r="F69" s="63" t="str"/>
      <x:c r="G69" s="63" t="str"/>
      <x:c r="H69" s="63" t="n">
        <x:v>0</x:v>
      </x:c>
      <x:c r="I69" s="72" t="str">
        <x:f>IF(OR(G69="",G69&lt;1,G69&gt;5),"",CHOOSE(G69,9,6,4,2,1)+2*IF(H69="",0,H69))</x:f>
      </x:c>
      <x:c r="J69" s="63" t="str"/>
    </x:row>
    <x:row r="70">
      <x:c r="A70" s="72" t="n">
        <x:v>2</x:v>
      </x:c>
      <x:c r="B70" s="72" t="str">
        <x:v>B</x:v>
      </x:c>
      <x:c r="C70" s="72" t="n">
        <x:v>1</x:v>
      </x:c>
      <x:c r="D70" s="72" t="n">
        <x:v>6</x:v>
      </x:c>
      <x:c r="E70" s="72" t="str">
        <x:f>IFERROR(IF(VLOOKUP(D70,Giocatori!$A$4:$C$73,2,FALSE)&lt;&gt;"",VLOOKUP(D70,Giocatori!$A$4:$C$73,2,FALSE),"Giocatore "&amp;D70),"Giocatore "&amp;D70)</x:f>
        <x:v>Panico Pasquale</x:v>
      </x:c>
      <x:c r="F70" s="63" t="str"/>
      <x:c r="G70" s="63" t="str"/>
      <x:c r="H70" s="63" t="n">
        <x:v>0</x:v>
      </x:c>
      <x:c r="I70" s="72" t="str">
        <x:f>IF(OR(G70="",G70&lt;1,G70&gt;5),"",CHOOSE(G70,9,6,4,2,1)+2*IF(H70="",0,H70))</x:f>
      </x:c>
      <x:c r="J70" s="63" t="str"/>
    </x:row>
    <x:row r="71">
      <x:c r="A71" s="72" t="n">
        <x:v>2</x:v>
      </x:c>
      <x:c r="B71" s="72" t="str">
        <x:v>B</x:v>
      </x:c>
      <x:c r="C71" s="72" t="n">
        <x:v>2</x:v>
      </x:c>
      <x:c r="D71" s="72" t="n">
        <x:v>2</x:v>
      </x:c>
      <x:c r="E71" s="72" t="str">
        <x:f>IFERROR(IF(VLOOKUP(D71,Giocatori!$A$4:$C$73,2,FALSE)&lt;&gt;"",VLOOKUP(D71,Giocatori!$A$4:$C$73,2,FALSE),"Giocatore "&amp;D71),"Giocatore "&amp;D71)</x:f>
        <x:v>La Marca Carlo</x:v>
      </x:c>
      <x:c r="F71" s="63" t="str"/>
      <x:c r="G71" s="63" t="str"/>
      <x:c r="H71" s="63" t="n">
        <x:v>0</x:v>
      </x:c>
      <x:c r="I71" s="72" t="str">
        <x:f>IF(OR(G71="",G71&lt;1,G71&gt;5),"",CHOOSE(G71,9,6,4,2,1)+2*IF(H71="",0,H71))</x:f>
      </x:c>
      <x:c r="J71" s="63" t="str"/>
    </x:row>
    <x:row r="72">
      <x:c r="A72" s="72" t="n">
        <x:v>2</x:v>
      </x:c>
      <x:c r="B72" s="72" t="str">
        <x:v>B</x:v>
      </x:c>
      <x:c r="C72" s="72" t="n">
        <x:v>3</x:v>
      </x:c>
      <x:c r="D72" s="72" t="n">
        <x:v>58</x:v>
      </x:c>
      <x:c r="E72" s="72" t="str">
        <x:f>IFERROR(IF(VLOOKUP(D72,Giocatori!$A$4:$C$73,2,FALSE)&lt;&gt;"",VLOOKUP(D72,Giocatori!$A$4:$C$73,2,FALSE),"Giocatore "&amp;D72),"Giocatore "&amp;D72)</x:f>
        <x:v>Mauro Salvatore</x:v>
      </x:c>
      <x:c r="F72" s="63" t="str"/>
      <x:c r="G72" s="63" t="str"/>
      <x:c r="H72" s="63" t="n">
        <x:v>0</x:v>
      </x:c>
      <x:c r="I72" s="72" t="str">
        <x:f>IF(OR(G72="",G72&lt;1,G72&gt;5),"",CHOOSE(G72,9,6,4,2,1)+2*IF(H72="",0,H72))</x:f>
      </x:c>
      <x:c r="J72" s="63" t="str"/>
    </x:row>
    <x:row r="73">
      <x:c r="A73" s="72" t="n">
        <x:v>2</x:v>
      </x:c>
      <x:c r="B73" s="72" t="str">
        <x:v>B</x:v>
      </x:c>
      <x:c r="C73" s="72" t="n">
        <x:v>4</x:v>
      </x:c>
      <x:c r="D73" s="72" t="n">
        <x:v>54</x:v>
      </x:c>
      <x:c r="E73" s="72" t="str">
        <x:f>IFERROR(IF(VLOOKUP(D73,Giocatori!$A$4:$C$73,2,FALSE)&lt;&gt;"",VLOOKUP(D73,Giocatori!$A$4:$C$73,2,FALSE),"Giocatore "&amp;D73),"Giocatore "&amp;D73)</x:f>
        <x:v>Giugliano Domenico</x:v>
      </x:c>
      <x:c r="F73" s="63" t="str"/>
      <x:c r="G73" s="63" t="str"/>
      <x:c r="H73" s="63" t="n">
        <x:v>0</x:v>
      </x:c>
      <x:c r="I73" s="72" t="str">
        <x:f>IF(OR(G73="",G73&lt;1,G73&gt;5),"",CHOOSE(G73,9,6,4,2,1)+2*IF(H73="",0,H73))</x:f>
      </x:c>
      <x:c r="J73" s="63" t="str"/>
    </x:row>
    <x:row r="74">
      <x:c r="A74" s="72" t="n">
        <x:v>2</x:v>
      </x:c>
      <x:c r="B74" s="72" t="str">
        <x:v>B</x:v>
      </x:c>
      <x:c r="C74" s="72" t="n">
        <x:v>5</x:v>
      </x:c>
      <x:c r="D74" s="72" t="n">
        <x:v>50</x:v>
      </x:c>
      <x:c r="E74" s="72" t="str">
        <x:f>IFERROR(IF(VLOOKUP(D74,Giocatori!$A$4:$C$73,2,FALSE)&lt;&gt;"",VLOOKUP(D74,Giocatori!$A$4:$C$73,2,FALSE),"Giocatore "&amp;D74),"Giocatore "&amp;D74)</x:f>
        <x:v>Bartolo</x:v>
      </x:c>
      <x:c r="F74" s="63" t="str"/>
      <x:c r="G74" s="63" t="str"/>
      <x:c r="H74" s="63" t="n">
        <x:v>0</x:v>
      </x:c>
      <x:c r="I74" s="72" t="str">
        <x:f>IF(OR(G74="",G74&lt;1,G74&gt;5),"",CHOOSE(G74,9,6,4,2,1)+2*IF(H74="",0,H74))</x:f>
      </x:c>
      <x:c r="J74" s="63" t="str"/>
    </x:row>
    <x:row r="75">
      <x:c r="A75" s="72" t="n">
        <x:v>2</x:v>
      </x:c>
      <x:c r="B75" s="72" t="str">
        <x:v>C</x:v>
      </x:c>
      <x:c r="C75" s="72" t="n">
        <x:v>1</x:v>
      </x:c>
      <x:c r="D75" s="72" t="n">
        <x:v>11</x:v>
      </x:c>
      <x:c r="E75" s="72" t="str">
        <x:f>IFERROR(IF(VLOOKUP(D75,Giocatori!$A$4:$C$73,2,FALSE)&lt;&gt;"",VLOOKUP(D75,Giocatori!$A$4:$C$73,2,FALSE),"Giocatore "&amp;D75),"Giocatore "&amp;D75)</x:f>
        <x:v>Notaro Giacomo</x:v>
      </x:c>
      <x:c r="F75" s="63" t="str"/>
      <x:c r="G75" s="63" t="str"/>
      <x:c r="H75" s="63" t="n">
        <x:v>0</x:v>
      </x:c>
      <x:c r="I75" s="72" t="str">
        <x:f>IF(OR(G75="",G75&lt;1,G75&gt;5),"",CHOOSE(G75,9,6,4,2,1)+2*IF(H75="",0,H75))</x:f>
      </x:c>
      <x:c r="J75" s="63" t="str"/>
    </x:row>
    <x:row r="76">
      <x:c r="A76" s="72" t="n">
        <x:v>2</x:v>
      </x:c>
      <x:c r="B76" s="72" t="str">
        <x:v>C</x:v>
      </x:c>
      <x:c r="C76" s="72" t="n">
        <x:v>2</x:v>
      </x:c>
      <x:c r="D76" s="72" t="n">
        <x:v>7</x:v>
      </x:c>
      <x:c r="E76" s="72" t="str">
        <x:f>IFERROR(IF(VLOOKUP(D76,Giocatori!$A$4:$C$73,2,FALSE)&lt;&gt;"",VLOOKUP(D76,Giocatori!$A$4:$C$73,2,FALSE),"Giocatore "&amp;D76),"Giocatore "&amp;D76)</x:f>
        <x:v>Ambrosino Michele</x:v>
      </x:c>
      <x:c r="F76" s="63" t="str"/>
      <x:c r="G76" s="63" t="str"/>
      <x:c r="H76" s="63" t="n">
        <x:v>0</x:v>
      </x:c>
      <x:c r="I76" s="72" t="str">
        <x:f>IF(OR(G76="",G76&lt;1,G76&gt;5),"",CHOOSE(G76,9,6,4,2,1)+2*IF(H76="",0,H76))</x:f>
      </x:c>
      <x:c r="J76" s="63" t="str"/>
    </x:row>
    <x:row r="77">
      <x:c r="A77" s="72" t="n">
        <x:v>2</x:v>
      </x:c>
      <x:c r="B77" s="72" t="str">
        <x:v>C</x:v>
      </x:c>
      <x:c r="C77" s="72" t="n">
        <x:v>3</x:v>
      </x:c>
      <x:c r="D77" s="72" t="n">
        <x:v>3</x:v>
      </x:c>
      <x:c r="E77" s="72" t="str">
        <x:f>IFERROR(IF(VLOOKUP(D77,Giocatori!$A$4:$C$73,2,FALSE)&lt;&gt;"",VLOOKUP(D77,Giocatori!$A$4:$C$73,2,FALSE),"Giocatore "&amp;D77),"Giocatore "&amp;D77)</x:f>
        <x:v>Sommese Antonio</x:v>
      </x:c>
      <x:c r="F77" s="63" t="str"/>
      <x:c r="G77" s="63" t="str"/>
      <x:c r="H77" s="63" t="n">
        <x:v>0</x:v>
      </x:c>
      <x:c r="I77" s="72" t="str">
        <x:f>IF(OR(G77="",G77&lt;1,G77&gt;5),"",CHOOSE(G77,9,6,4,2,1)+2*IF(H77="",0,H77))</x:f>
      </x:c>
      <x:c r="J77" s="63" t="str"/>
    </x:row>
    <x:row r="78">
      <x:c r="A78" s="72" t="n">
        <x:v>2</x:v>
      </x:c>
      <x:c r="B78" s="72" t="str">
        <x:v>C</x:v>
      </x:c>
      <x:c r="C78" s="72" t="n">
        <x:v>4</x:v>
      </x:c>
      <x:c r="D78" s="72" t="n">
        <x:v>59</x:v>
      </x:c>
      <x:c r="E78" s="72" t="str">
        <x:f>IFERROR(IF(VLOOKUP(D78,Giocatori!$A$4:$C$73,2,FALSE)&lt;&gt;"",VLOOKUP(D78,Giocatori!$A$4:$C$73,2,FALSE),"Giocatore "&amp;D78),"Giocatore "&amp;D78)</x:f>
        <x:v>Angiero Anna</x:v>
      </x:c>
      <x:c r="F78" s="63" t="str"/>
      <x:c r="G78" s="63" t="str"/>
      <x:c r="H78" s="63" t="n">
        <x:v>0</x:v>
      </x:c>
      <x:c r="I78" s="72" t="str">
        <x:f>IF(OR(G78="",G78&lt;1,G78&gt;5),"",CHOOSE(G78,9,6,4,2,1)+2*IF(H78="",0,H78))</x:f>
      </x:c>
      <x:c r="J78" s="63" t="str"/>
    </x:row>
    <x:row r="79">
      <x:c r="A79" s="72" t="n">
        <x:v>2</x:v>
      </x:c>
      <x:c r="B79" s="72" t="str">
        <x:v>C</x:v>
      </x:c>
      <x:c r="C79" s="72" t="n">
        <x:v>5</x:v>
      </x:c>
      <x:c r="D79" s="72" t="n">
        <x:v>55</x:v>
      </x:c>
      <x:c r="E79" s="72" t="str">
        <x:f>IFERROR(IF(VLOOKUP(D79,Giocatori!$A$4:$C$73,2,FALSE)&lt;&gt;"",VLOOKUP(D79,Giocatori!$A$4:$C$73,2,FALSE),"Giocatore "&amp;D79),"Giocatore "&amp;D79)</x:f>
        <x:v>Montanera Raffaele</x:v>
      </x:c>
      <x:c r="F79" s="63" t="str"/>
      <x:c r="G79" s="63" t="str"/>
      <x:c r="H79" s="63" t="n">
        <x:v>0</x:v>
      </x:c>
      <x:c r="I79" s="72" t="str">
        <x:f>IF(OR(G79="",G79&lt;1,G79&gt;5),"",CHOOSE(G79,9,6,4,2,1)+2*IF(H79="",0,H79))</x:f>
      </x:c>
      <x:c r="J79" s="63" t="str"/>
    </x:row>
    <x:row r="80">
      <x:c r="A80" s="72" t="n">
        <x:v>2</x:v>
      </x:c>
      <x:c r="B80" s="72" t="str">
        <x:v>D</x:v>
      </x:c>
      <x:c r="C80" s="72" t="n">
        <x:v>1</x:v>
      </x:c>
      <x:c r="D80" s="72" t="n">
        <x:v>16</x:v>
      </x:c>
      <x:c r="E80" s="72" t="str">
        <x:f>IFERROR(IF(VLOOKUP(D80,Giocatori!$A$4:$C$73,2,FALSE)&lt;&gt;"",VLOOKUP(D80,Giocatori!$A$4:$C$73,2,FALSE),"Giocatore "&amp;D80),"Giocatore "&amp;D80)</x:f>
        <x:v>Beracci Benedetto</x:v>
      </x:c>
      <x:c r="F80" s="63" t="str"/>
      <x:c r="G80" s="63" t="str"/>
      <x:c r="H80" s="63" t="n">
        <x:v>0</x:v>
      </x:c>
      <x:c r="I80" s="72" t="str">
        <x:f>IF(OR(G80="",G80&lt;1,G80&gt;5),"",CHOOSE(G80,9,6,4,2,1)+2*IF(H80="",0,H80))</x:f>
      </x:c>
      <x:c r="J80" s="63" t="str"/>
    </x:row>
    <x:row r="81">
      <x:c r="A81" s="72" t="n">
        <x:v>2</x:v>
      </x:c>
      <x:c r="B81" s="72" t="str">
        <x:v>D</x:v>
      </x:c>
      <x:c r="C81" s="72" t="n">
        <x:v>2</x:v>
      </x:c>
      <x:c r="D81" s="72" t="n">
        <x:v>12</x:v>
      </x:c>
      <x:c r="E81" s="72" t="str">
        <x:f>IFERROR(IF(VLOOKUP(D81,Giocatori!$A$4:$C$73,2,FALSE)&lt;&gt;"",VLOOKUP(D81,Giocatori!$A$4:$C$73,2,FALSE),"Giocatore "&amp;D81),"Giocatore "&amp;D81)</x:f>
        <x:v>Scognamiglio Alfredo</x:v>
      </x:c>
      <x:c r="F81" s="63" t="str"/>
      <x:c r="G81" s="63" t="str"/>
      <x:c r="H81" s="63" t="n">
        <x:v>0</x:v>
      </x:c>
      <x:c r="I81" s="72" t="str">
        <x:f>IF(OR(G81="",G81&lt;1,G81&gt;5),"",CHOOSE(G81,9,6,4,2,1)+2*IF(H81="",0,H81))</x:f>
      </x:c>
      <x:c r="J81" s="63" t="str"/>
    </x:row>
    <x:row r="82">
      <x:c r="A82" s="72" t="n">
        <x:v>2</x:v>
      </x:c>
      <x:c r="B82" s="72" t="str">
        <x:v>D</x:v>
      </x:c>
      <x:c r="C82" s="72" t="n">
        <x:v>3</x:v>
      </x:c>
      <x:c r="D82" s="72" t="n">
        <x:v>8</x:v>
      </x:c>
      <x:c r="E82" s="72" t="str">
        <x:f>IFERROR(IF(VLOOKUP(D82,Giocatori!$A$4:$C$73,2,FALSE)&lt;&gt;"",VLOOKUP(D82,Giocatori!$A$4:$C$73,2,FALSE),"Giocatore "&amp;D82),"Giocatore "&amp;D82)</x:f>
        <x:v>Ambrosino Raffaele</x:v>
      </x:c>
      <x:c r="F82" s="63" t="str"/>
      <x:c r="G82" s="63" t="str"/>
      <x:c r="H82" s="63" t="n">
        <x:v>0</x:v>
      </x:c>
      <x:c r="I82" s="72" t="str">
        <x:f>IF(OR(G82="",G82&lt;1,G82&gt;5),"",CHOOSE(G82,9,6,4,2,1)+2*IF(H82="",0,H82))</x:f>
      </x:c>
      <x:c r="J82" s="63" t="str"/>
    </x:row>
    <x:row r="83">
      <x:c r="A83" s="72" t="n">
        <x:v>2</x:v>
      </x:c>
      <x:c r="B83" s="72" t="str">
        <x:v>D</x:v>
      </x:c>
      <x:c r="C83" s="72" t="n">
        <x:v>4</x:v>
      </x:c>
      <x:c r="D83" s="72" t="n">
        <x:v>4</x:v>
      </x:c>
      <x:c r="E83" s="72" t="str">
        <x:f>IFERROR(IF(VLOOKUP(D83,Giocatori!$A$4:$C$73,2,FALSE)&lt;&gt;"",VLOOKUP(D83,Giocatori!$A$4:$C$73,2,FALSE),"Giocatore "&amp;D83),"Giocatore "&amp;D83)</x:f>
        <x:v>Annunziata Raffaele</x:v>
      </x:c>
      <x:c r="F83" s="63" t="str"/>
      <x:c r="G83" s="63" t="str"/>
      <x:c r="H83" s="63" t="n">
        <x:v>0</x:v>
      </x:c>
      <x:c r="I83" s="72" t="str">
        <x:f>IF(OR(G83="",G83&lt;1,G83&gt;5),"",CHOOSE(G83,9,6,4,2,1)+2*IF(H83="",0,H83))</x:f>
      </x:c>
      <x:c r="J83" s="63" t="str"/>
    </x:row>
    <x:row r="84">
      <x:c r="A84" s="72" t="n">
        <x:v>2</x:v>
      </x:c>
      <x:c r="B84" s="72" t="str">
        <x:v>D</x:v>
      </x:c>
      <x:c r="C84" s="72" t="n">
        <x:v>5</x:v>
      </x:c>
      <x:c r="D84" s="72" t="n">
        <x:v>60</x:v>
      </x:c>
      <x:c r="E84" s="72" t="str">
        <x:f>IFERROR(IF(VLOOKUP(D84,Giocatori!$A$4:$C$73,2,FALSE)&lt;&gt;"",VLOOKUP(D84,Giocatori!$A$4:$C$73,2,FALSE),"Giocatore "&amp;D84),"Giocatore "&amp;D84)</x:f>
        <x:v>Di Grazia Salvatore</x:v>
      </x:c>
      <x:c r="F84" s="63" t="str"/>
      <x:c r="G84" s="63" t="str"/>
      <x:c r="H84" s="63" t="n">
        <x:v>0</x:v>
      </x:c>
      <x:c r="I84" s="72" t="str">
        <x:f>IF(OR(G84="",G84&lt;1,G84&gt;5),"",CHOOSE(G84,9,6,4,2,1)+2*IF(H84="",0,H84))</x:f>
      </x:c>
      <x:c r="J84" s="63" t="str"/>
    </x:row>
    <x:row r="85">
      <x:c r="A85" s="72" t="n">
        <x:v>2</x:v>
      </x:c>
      <x:c r="B85" s="72" t="str">
        <x:v>E</x:v>
      </x:c>
      <x:c r="C85" s="72" t="n">
        <x:v>1</x:v>
      </x:c>
      <x:c r="D85" s="72" t="n">
        <x:v>21</x:v>
      </x:c>
      <x:c r="E85" s="72" t="str">
        <x:f>IFERROR(IF(VLOOKUP(D85,Giocatori!$A$4:$C$73,2,FALSE)&lt;&gt;"",VLOOKUP(D85,Giocatori!$A$4:$C$73,2,FALSE),"Giocatore "&amp;D85),"Giocatore "&amp;D85)</x:f>
        <x:v>Tufano Raffaele</x:v>
      </x:c>
      <x:c r="F85" s="63" t="str"/>
      <x:c r="G85" s="63" t="str"/>
      <x:c r="H85" s="63" t="n">
        <x:v>0</x:v>
      </x:c>
      <x:c r="I85" s="72" t="str">
        <x:f>IF(OR(G85="",G85&lt;1,G85&gt;5),"",CHOOSE(G85,9,6,4,2,1)+2*IF(H85="",0,H85))</x:f>
      </x:c>
      <x:c r="J85" s="63" t="str"/>
    </x:row>
    <x:row r="86">
      <x:c r="A86" s="72" t="n">
        <x:v>2</x:v>
      </x:c>
      <x:c r="B86" s="72" t="str">
        <x:v>E</x:v>
      </x:c>
      <x:c r="C86" s="72" t="n">
        <x:v>2</x:v>
      </x:c>
      <x:c r="D86" s="72" t="n">
        <x:v>17</x:v>
      </x:c>
      <x:c r="E86" s="72" t="str">
        <x:f>IFERROR(IF(VLOOKUP(D86,Giocatori!$A$4:$C$73,2,FALSE)&lt;&gt;"",VLOOKUP(D86,Giocatori!$A$4:$C$73,2,FALSE),"Giocatore "&amp;D86),"Giocatore "&amp;D86)</x:f>
        <x:v>Tufano Giovanni</x:v>
      </x:c>
      <x:c r="F86" s="63" t="str"/>
      <x:c r="G86" s="63" t="str"/>
      <x:c r="H86" s="63" t="n">
        <x:v>0</x:v>
      </x:c>
      <x:c r="I86" s="72" t="str">
        <x:f>IF(OR(G86="",G86&lt;1,G86&gt;5),"",CHOOSE(G86,9,6,4,2,1)+2*IF(H86="",0,H86))</x:f>
      </x:c>
      <x:c r="J86" s="63" t="str"/>
    </x:row>
    <x:row r="87">
      <x:c r="A87" s="72" t="n">
        <x:v>2</x:v>
      </x:c>
      <x:c r="B87" s="72" t="str">
        <x:v>E</x:v>
      </x:c>
      <x:c r="C87" s="72" t="n">
        <x:v>3</x:v>
      </x:c>
      <x:c r="D87" s="72" t="n">
        <x:v>13</x:v>
      </x:c>
      <x:c r="E87" s="72" t="str">
        <x:f>IFERROR(IF(VLOOKUP(D87,Giocatori!$A$4:$C$73,2,FALSE)&lt;&gt;"",VLOOKUP(D87,Giocatori!$A$4:$C$73,2,FALSE),"Giocatore "&amp;D87),"Giocatore "&amp;D87)</x:f>
        <x:v>Del Vecchio Diego</x:v>
      </x:c>
      <x:c r="F87" s="63" t="str"/>
      <x:c r="G87" s="63" t="str"/>
      <x:c r="H87" s="63" t="n">
        <x:v>0</x:v>
      </x:c>
      <x:c r="I87" s="72" t="str">
        <x:f>IF(OR(G87="",G87&lt;1,G87&gt;5),"",CHOOSE(G87,9,6,4,2,1)+2*IF(H87="",0,H87))</x:f>
      </x:c>
      <x:c r="J87" s="63" t="str"/>
    </x:row>
    <x:row r="88">
      <x:c r="A88" s="72" t="n">
        <x:v>2</x:v>
      </x:c>
      <x:c r="B88" s="72" t="str">
        <x:v>E</x:v>
      </x:c>
      <x:c r="C88" s="72" t="n">
        <x:v>4</x:v>
      </x:c>
      <x:c r="D88" s="72" t="n">
        <x:v>9</x:v>
      </x:c>
      <x:c r="E88" s="72" t="str">
        <x:f>IFERROR(IF(VLOOKUP(D88,Giocatori!$A$4:$C$73,2,FALSE)&lt;&gt;"",VLOOKUP(D88,Giocatori!$A$4:$C$73,2,FALSE),"Giocatore "&amp;D88),"Giocatore "&amp;D88)</x:f>
        <x:v>Nappo Angelo</x:v>
      </x:c>
      <x:c r="F88" s="63" t="str"/>
      <x:c r="G88" s="63" t="str"/>
      <x:c r="H88" s="63" t="n">
        <x:v>0</x:v>
      </x:c>
      <x:c r="I88" s="72" t="str">
        <x:f>IF(OR(G88="",G88&lt;1,G88&gt;5),"",CHOOSE(G88,9,6,4,2,1)+2*IF(H88="",0,H88))</x:f>
      </x:c>
      <x:c r="J88" s="63" t="str"/>
    </x:row>
    <x:row r="89">
      <x:c r="A89" s="72" t="n">
        <x:v>2</x:v>
      </x:c>
      <x:c r="B89" s="72" t="str">
        <x:v>E</x:v>
      </x:c>
      <x:c r="C89" s="72" t="n">
        <x:v>5</x:v>
      </x:c>
      <x:c r="D89" s="72" t="n">
        <x:v>5</x:v>
      </x:c>
      <x:c r="E89" s="72" t="str">
        <x:f>IFERROR(IF(VLOOKUP(D89,Giocatori!$A$4:$C$73,2,FALSE)&lt;&gt;"",VLOOKUP(D89,Giocatori!$A$4:$C$73,2,FALSE),"Giocatore "&amp;D89),"Giocatore "&amp;D89)</x:f>
        <x:v>La Marca Pasquale</x:v>
      </x:c>
      <x:c r="F89" s="63" t="str"/>
      <x:c r="G89" s="63" t="str"/>
      <x:c r="H89" s="63" t="n">
        <x:v>0</x:v>
      </x:c>
      <x:c r="I89" s="72" t="str">
        <x:f>IF(OR(G89="",G89&lt;1,G89&gt;5),"",CHOOSE(G89,9,6,4,2,1)+2*IF(H89="",0,H89))</x:f>
      </x:c>
      <x:c r="J89" s="63" t="str"/>
    </x:row>
    <x:row r="90">
      <x:c r="A90" s="72" t="n">
        <x:v>2</x:v>
      </x:c>
      <x:c r="B90" s="72" t="str">
        <x:v>F</x:v>
      </x:c>
      <x:c r="C90" s="72" t="n">
        <x:v>1</x:v>
      </x:c>
      <x:c r="D90" s="72" t="n">
        <x:v>26</x:v>
      </x:c>
      <x:c r="E90" s="72" t="str">
        <x:f>IFERROR(IF(VLOOKUP(D90,Giocatori!$A$4:$C$73,2,FALSE)&lt;&gt;"",VLOOKUP(D90,Giocatori!$A$4:$C$73,2,FALSE),"Giocatore "&amp;D90),"Giocatore "&amp;D90)</x:f>
        <x:v>Gesso Marco</x:v>
      </x:c>
      <x:c r="F90" s="63" t="str"/>
      <x:c r="G90" s="63" t="str"/>
      <x:c r="H90" s="63" t="n">
        <x:v>0</x:v>
      </x:c>
      <x:c r="I90" s="72" t="str">
        <x:f>IF(OR(G90="",G90&lt;1,G90&gt;5),"",CHOOSE(G90,9,6,4,2,1)+2*IF(H90="",0,H90))</x:f>
      </x:c>
      <x:c r="J90" s="63" t="str"/>
    </x:row>
    <x:row r="91">
      <x:c r="A91" s="72" t="n">
        <x:v>2</x:v>
      </x:c>
      <x:c r="B91" s="72" t="str">
        <x:v>F</x:v>
      </x:c>
      <x:c r="C91" s="72" t="n">
        <x:v>2</x:v>
      </x:c>
      <x:c r="D91" s="72" t="n">
        <x:v>22</x:v>
      </x:c>
      <x:c r="E91" s="72" t="str">
        <x:f>IFERROR(IF(VLOOKUP(D91,Giocatori!$A$4:$C$73,2,FALSE)&lt;&gt;"",VLOOKUP(D91,Giocatori!$A$4:$C$73,2,FALSE),"Giocatore "&amp;D91),"Giocatore "&amp;D91)</x:f>
        <x:v>Napolitano Antonio</x:v>
      </x:c>
      <x:c r="F91" s="63" t="str"/>
      <x:c r="G91" s="63" t="str"/>
      <x:c r="H91" s="63" t="n">
        <x:v>0</x:v>
      </x:c>
      <x:c r="I91" s="72" t="str">
        <x:f>IF(OR(G91="",G91&lt;1,G91&gt;5),"",CHOOSE(G91,9,6,4,2,1)+2*IF(H91="",0,H91))</x:f>
      </x:c>
      <x:c r="J91" s="63" t="str"/>
    </x:row>
    <x:row r="92">
      <x:c r="A92" s="72" t="n">
        <x:v>2</x:v>
      </x:c>
      <x:c r="B92" s="72" t="str">
        <x:v>F</x:v>
      </x:c>
      <x:c r="C92" s="72" t="n">
        <x:v>3</x:v>
      </x:c>
      <x:c r="D92" s="72" t="n">
        <x:v>18</x:v>
      </x:c>
      <x:c r="E92" s="72" t="str">
        <x:f>IFERROR(IF(VLOOKUP(D92,Giocatori!$A$4:$C$73,2,FALSE)&lt;&gt;"",VLOOKUP(D92,Giocatori!$A$4:$C$73,2,FALSE),"Giocatore "&amp;D92),"Giocatore "&amp;D92)</x:f>
        <x:v>Ambrosino Gabriele</x:v>
      </x:c>
      <x:c r="F92" s="63" t="str"/>
      <x:c r="G92" s="63" t="str"/>
      <x:c r="H92" s="63" t="n">
        <x:v>0</x:v>
      </x:c>
      <x:c r="I92" s="72" t="str">
        <x:f>IF(OR(G92="",G92&lt;1,G92&gt;5),"",CHOOSE(G92,9,6,4,2,1)+2*IF(H92="",0,H92))</x:f>
      </x:c>
      <x:c r="J92" s="63" t="str"/>
    </x:row>
    <x:row r="93">
      <x:c r="A93" s="72" t="n">
        <x:v>2</x:v>
      </x:c>
      <x:c r="B93" s="72" t="str">
        <x:v>F</x:v>
      </x:c>
      <x:c r="C93" s="72" t="n">
        <x:v>4</x:v>
      </x:c>
      <x:c r="D93" s="72" t="n">
        <x:v>14</x:v>
      </x:c>
      <x:c r="E93" s="72" t="str">
        <x:f>IFERROR(IF(VLOOKUP(D93,Giocatori!$A$4:$C$73,2,FALSE)&lt;&gt;"",VLOOKUP(D93,Giocatori!$A$4:$C$73,2,FALSE),"Giocatore "&amp;D93),"Giocatore "&amp;D93)</x:f>
        <x:v>Beracci Lucio</x:v>
      </x:c>
      <x:c r="F93" s="63" t="str"/>
      <x:c r="G93" s="63" t="str"/>
      <x:c r="H93" s="63" t="n">
        <x:v>0</x:v>
      </x:c>
      <x:c r="I93" s="72" t="str">
        <x:f>IF(OR(G93="",G93&lt;1,G93&gt;5),"",CHOOSE(G93,9,6,4,2,1)+2*IF(H93="",0,H93))</x:f>
      </x:c>
      <x:c r="J93" s="63" t="str"/>
    </x:row>
    <x:row r="94">
      <x:c r="A94" s="72" t="n">
        <x:v>2</x:v>
      </x:c>
      <x:c r="B94" s="72" t="str">
        <x:v>F</x:v>
      </x:c>
      <x:c r="C94" s="72" t="n">
        <x:v>5</x:v>
      </x:c>
      <x:c r="D94" s="72" t="n">
        <x:v>10</x:v>
      </x:c>
      <x:c r="E94" s="72" t="str">
        <x:f>IFERROR(IF(VLOOKUP(D94,Giocatori!$A$4:$C$73,2,FALSE)&lt;&gt;"",VLOOKUP(D94,Giocatori!$A$4:$C$73,2,FALSE),"Giocatore "&amp;D94),"Giocatore "&amp;D94)</x:f>
        <x:v>Cavallaro Erasmo</x:v>
      </x:c>
      <x:c r="F94" s="63" t="str"/>
      <x:c r="G94" s="63" t="str"/>
      <x:c r="H94" s="63" t="n">
        <x:v>0</x:v>
      </x:c>
      <x:c r="I94" s="72" t="str">
        <x:f>IF(OR(G94="",G94&lt;1,G94&gt;5),"",CHOOSE(G94,9,6,4,2,1)+2*IF(H94="",0,H94))</x:f>
      </x:c>
      <x:c r="J94" s="63" t="str"/>
    </x:row>
    <x:row r="95">
      <x:c r="A95" s="72" t="n">
        <x:v>2</x:v>
      </x:c>
      <x:c r="B95" s="72" t="str">
        <x:v>G</x:v>
      </x:c>
      <x:c r="C95" s="72" t="n">
        <x:v>1</x:v>
      </x:c>
      <x:c r="D95" s="72" t="n">
        <x:v>31</x:v>
      </x:c>
      <x:c r="E95" s="72" t="str">
        <x:f>IFERROR(IF(VLOOKUP(D95,Giocatori!$A$4:$C$73,2,FALSE)&lt;&gt;"",VLOOKUP(D95,Giocatori!$A$4:$C$73,2,FALSE),"Giocatore "&amp;D95),"Giocatore "&amp;D95)</x:f>
        <x:v>Polacco Tommaso</x:v>
      </x:c>
      <x:c r="F95" s="63" t="str"/>
      <x:c r="G95" s="63" t="str"/>
      <x:c r="H95" s="63" t="n">
        <x:v>0</x:v>
      </x:c>
      <x:c r="I95" s="72" t="str">
        <x:f>IF(OR(G95="",G95&lt;1,G95&gt;5),"",CHOOSE(G95,9,6,4,2,1)+2*IF(H95="",0,H95))</x:f>
      </x:c>
      <x:c r="J95" s="63" t="str"/>
    </x:row>
    <x:row r="96">
      <x:c r="A96" s="72" t="n">
        <x:v>2</x:v>
      </x:c>
      <x:c r="B96" s="72" t="str">
        <x:v>G</x:v>
      </x:c>
      <x:c r="C96" s="72" t="n">
        <x:v>2</x:v>
      </x:c>
      <x:c r="D96" s="72" t="n">
        <x:v>27</x:v>
      </x:c>
      <x:c r="E96" s="72" t="str">
        <x:f>IFERROR(IF(VLOOKUP(D96,Giocatori!$A$4:$C$73,2,FALSE)&lt;&gt;"",VLOOKUP(D96,Giocatori!$A$4:$C$73,2,FALSE),"Giocatore "&amp;D96),"Giocatore "&amp;D96)</x:f>
        <x:v>Napolitano Angelo</x:v>
      </x:c>
      <x:c r="F96" s="63" t="str"/>
      <x:c r="G96" s="63" t="str"/>
      <x:c r="H96" s="63" t="n">
        <x:v>0</x:v>
      </x:c>
      <x:c r="I96" s="72" t="str">
        <x:f>IF(OR(G96="",G96&lt;1,G96&gt;5),"",CHOOSE(G96,9,6,4,2,1)+2*IF(H96="",0,H96))</x:f>
      </x:c>
      <x:c r="J96" s="63" t="str"/>
    </x:row>
    <x:row r="97">
      <x:c r="A97" s="72" t="n">
        <x:v>2</x:v>
      </x:c>
      <x:c r="B97" s="72" t="str">
        <x:v>G</x:v>
      </x:c>
      <x:c r="C97" s="72" t="n">
        <x:v>3</x:v>
      </x:c>
      <x:c r="D97" s="72" t="n">
        <x:v>23</x:v>
      </x:c>
      <x:c r="E97" s="72" t="str">
        <x:f>IFERROR(IF(VLOOKUP(D97,Giocatori!$A$4:$C$73,2,FALSE)&lt;&gt;"",VLOOKUP(D97,Giocatori!$A$4:$C$73,2,FALSE),"Giocatore "&amp;D97),"Giocatore "&amp;D97)</x:f>
        <x:v>Notaro Massimo</x:v>
      </x:c>
      <x:c r="F97" s="63" t="str"/>
      <x:c r="G97" s="63" t="str"/>
      <x:c r="H97" s="63" t="n">
        <x:v>0</x:v>
      </x:c>
      <x:c r="I97" s="72" t="str">
        <x:f>IF(OR(G97="",G97&lt;1,G97&gt;5),"",CHOOSE(G97,9,6,4,2,1)+2*IF(H97="",0,H97))</x:f>
      </x:c>
      <x:c r="J97" s="63" t="str"/>
    </x:row>
    <x:row r="98">
      <x:c r="A98" s="72" t="n">
        <x:v>2</x:v>
      </x:c>
      <x:c r="B98" s="72" t="str">
        <x:v>G</x:v>
      </x:c>
      <x:c r="C98" s="72" t="n">
        <x:v>4</x:v>
      </x:c>
      <x:c r="D98" s="72" t="n">
        <x:v>19</x:v>
      </x:c>
      <x:c r="E98" s="72" t="str">
        <x:f>IFERROR(IF(VLOOKUP(D98,Giocatori!$A$4:$C$73,2,FALSE)&lt;&gt;"",VLOOKUP(D98,Giocatori!$A$4:$C$73,2,FALSE),"Giocatore "&amp;D98),"Giocatore "&amp;D98)</x:f>
        <x:v>Strocchia Franco</x:v>
      </x:c>
      <x:c r="F98" s="63" t="str"/>
      <x:c r="G98" s="63" t="str"/>
      <x:c r="H98" s="63" t="n">
        <x:v>0</x:v>
      </x:c>
      <x:c r="I98" s="72" t="str">
        <x:f>IF(OR(G98="",G98&lt;1,G98&gt;5),"",CHOOSE(G98,9,6,4,2,1)+2*IF(H98="",0,H98))</x:f>
      </x:c>
      <x:c r="J98" s="63" t="str"/>
    </x:row>
    <x:row r="99">
      <x:c r="A99" s="72" t="n">
        <x:v>2</x:v>
      </x:c>
      <x:c r="B99" s="72" t="str">
        <x:v>G</x:v>
      </x:c>
      <x:c r="C99" s="72" t="n">
        <x:v>5</x:v>
      </x:c>
      <x:c r="D99" s="72" t="n">
        <x:v>15</x:v>
      </x:c>
      <x:c r="E99" s="72" t="str">
        <x:f>IFERROR(IF(VLOOKUP(D99,Giocatori!$A$4:$C$73,2,FALSE)&lt;&gt;"",VLOOKUP(D99,Giocatori!$A$4:$C$73,2,FALSE),"Giocatore "&amp;D99),"Giocatore "&amp;D99)</x:f>
        <x:v>De Falco Andrea</x:v>
      </x:c>
      <x:c r="F99" s="63" t="str"/>
      <x:c r="G99" s="63" t="str"/>
      <x:c r="H99" s="63" t="n">
        <x:v>0</x:v>
      </x:c>
      <x:c r="I99" s="72" t="str">
        <x:f>IF(OR(G99="",G99&lt;1,G99&gt;5),"",CHOOSE(G99,9,6,4,2,1)+2*IF(H99="",0,H99))</x:f>
      </x:c>
      <x:c r="J99" s="63" t="str"/>
    </x:row>
    <x:row r="100">
      <x:c r="A100" s="72" t="n">
        <x:v>2</x:v>
      </x:c>
      <x:c r="B100" s="72" t="str">
        <x:v>H</x:v>
      </x:c>
      <x:c r="C100" s="72" t="n">
        <x:v>1</x:v>
      </x:c>
      <x:c r="D100" s="72" t="n">
        <x:v>36</x:v>
      </x:c>
      <x:c r="E100" s="72" t="str">
        <x:f>IFERROR(IF(VLOOKUP(D100,Giocatori!$A$4:$C$73,2,FALSE)&lt;&gt;"",VLOOKUP(D100,Giocatori!$A$4:$C$73,2,FALSE),"Giocatore "&amp;D100),"Giocatore "&amp;D100)</x:f>
        <x:v>Moccia Biagio</x:v>
      </x:c>
      <x:c r="F100" s="63" t="str"/>
      <x:c r="G100" s="63" t="str"/>
      <x:c r="H100" s="63" t="n">
        <x:v>0</x:v>
      </x:c>
      <x:c r="I100" s="72" t="str">
        <x:f>IF(OR(G100="",G100&lt;1,G100&gt;5),"",CHOOSE(G100,9,6,4,2,1)+2*IF(H100="",0,H100))</x:f>
      </x:c>
      <x:c r="J100" s="63" t="str"/>
    </x:row>
    <x:row r="101">
      <x:c r="A101" s="72" t="n">
        <x:v>2</x:v>
      </x:c>
      <x:c r="B101" s="72" t="str">
        <x:v>H</x:v>
      </x:c>
      <x:c r="C101" s="72" t="n">
        <x:v>2</x:v>
      </x:c>
      <x:c r="D101" s="72" t="n">
        <x:v>32</x:v>
      </x:c>
      <x:c r="E101" s="72" t="str">
        <x:f>IFERROR(IF(VLOOKUP(D101,Giocatori!$A$4:$C$73,2,FALSE)&lt;&gt;"",VLOOKUP(D101,Giocatori!$A$4:$C$73,2,FALSE),"Giocatore "&amp;D101),"Giocatore "&amp;D101)</x:f>
        <x:v>Marotta Pasquale</x:v>
      </x:c>
      <x:c r="F101" s="63" t="str"/>
      <x:c r="G101" s="63" t="str"/>
      <x:c r="H101" s="63" t="n">
        <x:v>0</x:v>
      </x:c>
      <x:c r="I101" s="72" t="str">
        <x:f>IF(OR(G101="",G101&lt;1,G101&gt;5),"",CHOOSE(G101,9,6,4,2,1)+2*IF(H101="",0,H101))</x:f>
      </x:c>
      <x:c r="J101" s="63" t="str"/>
    </x:row>
    <x:row r="102">
      <x:c r="A102" s="72" t="n">
        <x:v>2</x:v>
      </x:c>
      <x:c r="B102" s="72" t="str">
        <x:v>H</x:v>
      </x:c>
      <x:c r="C102" s="72" t="n">
        <x:v>3</x:v>
      </x:c>
      <x:c r="D102" s="72" t="n">
        <x:v>28</x:v>
      </x:c>
      <x:c r="E102" s="72" t="str">
        <x:f>IFERROR(IF(VLOOKUP(D102,Giocatori!$A$4:$C$73,2,FALSE)&lt;&gt;"",VLOOKUP(D102,Giocatori!$A$4:$C$73,2,FALSE),"Giocatore "&amp;D102),"Giocatore "&amp;D102)</x:f>
        <x:v>Fontanella Carmine</x:v>
      </x:c>
      <x:c r="F102" s="63" t="str"/>
      <x:c r="G102" s="63" t="str"/>
      <x:c r="H102" s="63" t="n">
        <x:v>0</x:v>
      </x:c>
      <x:c r="I102" s="72" t="str">
        <x:f>IF(OR(G102="",G102&lt;1,G102&gt;5),"",CHOOSE(G102,9,6,4,2,1)+2*IF(H102="",0,H102))</x:f>
      </x:c>
      <x:c r="J102" s="63" t="str"/>
    </x:row>
    <x:row r="103">
      <x:c r="A103" s="72" t="n">
        <x:v>2</x:v>
      </x:c>
      <x:c r="B103" s="72" t="str">
        <x:v>H</x:v>
      </x:c>
      <x:c r="C103" s="72" t="n">
        <x:v>4</x:v>
      </x:c>
      <x:c r="D103" s="72" t="n">
        <x:v>24</x:v>
      </x:c>
      <x:c r="E103" s="72" t="str">
        <x:f>IFERROR(IF(VLOOKUP(D103,Giocatori!$A$4:$C$73,2,FALSE)&lt;&gt;"",VLOOKUP(D103,Giocatori!$A$4:$C$73,2,FALSE),"Giocatore "&amp;D103),"Giocatore "&amp;D103)</x:f>
        <x:v>Pierro Giuseppe</x:v>
      </x:c>
      <x:c r="F103" s="63" t="str"/>
      <x:c r="G103" s="63" t="str"/>
      <x:c r="H103" s="63" t="n">
        <x:v>0</x:v>
      </x:c>
      <x:c r="I103" s="72" t="str">
        <x:f>IF(OR(G103="",G103&lt;1,G103&gt;5),"",CHOOSE(G103,9,6,4,2,1)+2*IF(H103="",0,H103))</x:f>
      </x:c>
      <x:c r="J103" s="63" t="str"/>
    </x:row>
    <x:row r="104">
      <x:c r="A104" s="72" t="n">
        <x:v>2</x:v>
      </x:c>
      <x:c r="B104" s="72" t="str">
        <x:v>H</x:v>
      </x:c>
      <x:c r="C104" s="72" t="n">
        <x:v>5</x:v>
      </x:c>
      <x:c r="D104" s="72" t="n">
        <x:v>20</x:v>
      </x:c>
      <x:c r="E104" s="72" t="str">
        <x:f>IFERROR(IF(VLOOKUP(D104,Giocatori!$A$4:$C$73,2,FALSE)&lt;&gt;"",VLOOKUP(D104,Giocatori!$A$4:$C$73,2,FALSE),"Giocatore "&amp;D104),"Giocatore "&amp;D104)</x:f>
        <x:v>Morelli Carmine</x:v>
      </x:c>
      <x:c r="F104" s="63" t="str"/>
      <x:c r="G104" s="63" t="str"/>
      <x:c r="H104" s="63" t="n">
        <x:v>0</x:v>
      </x:c>
      <x:c r="I104" s="72" t="str">
        <x:f>IF(OR(G104="",G104&lt;1,G104&gt;5),"",CHOOSE(G104,9,6,4,2,1)+2*IF(H104="",0,H104))</x:f>
      </x:c>
      <x:c r="J104" s="63" t="str"/>
    </x:row>
    <x:row r="105">
      <x:c r="A105" s="72" t="n">
        <x:v>2</x:v>
      </x:c>
      <x:c r="B105" s="72" t="str">
        <x:v>I</x:v>
      </x:c>
      <x:c r="C105" s="72" t="n">
        <x:v>1</x:v>
      </x:c>
      <x:c r="D105" s="72" t="n">
        <x:v>41</x:v>
      </x:c>
      <x:c r="E105" s="72" t="str">
        <x:f>IFERROR(IF(VLOOKUP(D105,Giocatori!$A$4:$C$73,2,FALSE)&lt;&gt;"",VLOOKUP(D105,Giocatori!$A$4:$C$73,2,FALSE),"Giocatore "&amp;D105),"Giocatore "&amp;D105)</x:f>
        <x:v>Nocerino Nunzio</x:v>
      </x:c>
      <x:c r="F105" s="63" t="str"/>
      <x:c r="G105" s="63" t="str"/>
      <x:c r="H105" s="63" t="n">
        <x:v>0</x:v>
      </x:c>
      <x:c r="I105" s="72" t="str">
        <x:f>IF(OR(G105="",G105&lt;1,G105&gt;5),"",CHOOSE(G105,9,6,4,2,1)+2*IF(H105="",0,H105))</x:f>
      </x:c>
      <x:c r="J105" s="63" t="str"/>
    </x:row>
    <x:row r="106">
      <x:c r="A106" s="72" t="n">
        <x:v>2</x:v>
      </x:c>
      <x:c r="B106" s="72" t="str">
        <x:v>I</x:v>
      </x:c>
      <x:c r="C106" s="72" t="n">
        <x:v>2</x:v>
      </x:c>
      <x:c r="D106" s="72" t="n">
        <x:v>37</x:v>
      </x:c>
      <x:c r="E106" s="72" t="str">
        <x:f>IFERROR(IF(VLOOKUP(D106,Giocatori!$A$4:$C$73,2,FALSE)&lt;&gt;"",VLOOKUP(D106,Giocatori!$A$4:$C$73,2,FALSE),"Giocatore "&amp;D106),"Giocatore "&amp;D106)</x:f>
        <x:v>Spallone Carmine</x:v>
      </x:c>
      <x:c r="F106" s="63" t="str"/>
      <x:c r="G106" s="63" t="str"/>
      <x:c r="H106" s="63" t="n">
        <x:v>0</x:v>
      </x:c>
      <x:c r="I106" s="72" t="str">
        <x:f>IF(OR(G106="",G106&lt;1,G106&gt;5),"",CHOOSE(G106,9,6,4,2,1)+2*IF(H106="",0,H106))</x:f>
      </x:c>
      <x:c r="J106" s="63" t="str"/>
    </x:row>
    <x:row r="107">
      <x:c r="A107" s="72" t="n">
        <x:v>2</x:v>
      </x:c>
      <x:c r="B107" s="72" t="str">
        <x:v>I</x:v>
      </x:c>
      <x:c r="C107" s="72" t="n">
        <x:v>3</x:v>
      </x:c>
      <x:c r="D107" s="72" t="n">
        <x:v>33</x:v>
      </x:c>
      <x:c r="E107" s="72" t="str">
        <x:f>IFERROR(IF(VLOOKUP(D107,Giocatori!$A$4:$C$73,2,FALSE)&lt;&gt;"",VLOOKUP(D107,Giocatori!$A$4:$C$73,2,FALSE),"Giocatore "&amp;D107),"Giocatore "&amp;D107)</x:f>
        <x:v>Franzese Francesco</x:v>
      </x:c>
      <x:c r="F107" s="63" t="str"/>
      <x:c r="G107" s="63" t="str"/>
      <x:c r="H107" s="63" t="n">
        <x:v>0</x:v>
      </x:c>
      <x:c r="I107" s="72" t="str">
        <x:f>IF(OR(G107="",G107&lt;1,G107&gt;5),"",CHOOSE(G107,9,6,4,2,1)+2*IF(H107="",0,H107))</x:f>
      </x:c>
      <x:c r="J107" s="63" t="str"/>
    </x:row>
    <x:row r="108">
      <x:c r="A108" s="72" t="n">
        <x:v>2</x:v>
      </x:c>
      <x:c r="B108" s="72" t="str">
        <x:v>I</x:v>
      </x:c>
      <x:c r="C108" s="72" t="n">
        <x:v>4</x:v>
      </x:c>
      <x:c r="D108" s="72" t="n">
        <x:v>29</x:v>
      </x:c>
      <x:c r="E108" s="72" t="str">
        <x:f>IFERROR(IF(VLOOKUP(D108,Giocatori!$A$4:$C$73,2,FALSE)&lt;&gt;"",VLOOKUP(D108,Giocatori!$A$4:$C$73,2,FALSE),"Giocatore "&amp;D108),"Giocatore "&amp;D108)</x:f>
        <x:v>Nappi Nestore</x:v>
      </x:c>
      <x:c r="F108" s="63" t="str"/>
      <x:c r="G108" s="63" t="str"/>
      <x:c r="H108" s="63" t="n">
        <x:v>0</x:v>
      </x:c>
      <x:c r="I108" s="72" t="str">
        <x:f>IF(OR(G108="",G108&lt;1,G108&gt;5),"",CHOOSE(G108,9,6,4,2,1)+2*IF(H108="",0,H108))</x:f>
      </x:c>
      <x:c r="J108" s="63" t="str"/>
    </x:row>
    <x:row r="109">
      <x:c r="A109" s="72" t="n">
        <x:v>2</x:v>
      </x:c>
      <x:c r="B109" s="72" t="str">
        <x:v>I</x:v>
      </x:c>
      <x:c r="C109" s="72" t="n">
        <x:v>5</x:v>
      </x:c>
      <x:c r="D109" s="72" t="n">
        <x:v>25</x:v>
      </x:c>
      <x:c r="E109" s="72" t="str">
        <x:f>IFERROR(IF(VLOOKUP(D109,Giocatori!$A$4:$C$73,2,FALSE)&lt;&gt;"",VLOOKUP(D109,Giocatori!$A$4:$C$73,2,FALSE),"Giocatore "&amp;D109),"Giocatore "&amp;D109)</x:f>
        <x:v>Giugliano Francesco</x:v>
      </x:c>
      <x:c r="F109" s="63" t="str"/>
      <x:c r="G109" s="63" t="str"/>
      <x:c r="H109" s="63" t="n">
        <x:v>0</x:v>
      </x:c>
      <x:c r="I109" s="72" t="str">
        <x:f>IF(OR(G109="",G109&lt;1,G109&gt;5),"",CHOOSE(G109,9,6,4,2,1)+2*IF(H109="",0,H109))</x:f>
      </x:c>
      <x:c r="J109" s="63" t="str"/>
    </x:row>
    <x:row r="110">
      <x:c r="A110" s="72" t="n">
        <x:v>2</x:v>
      </x:c>
      <x:c r="B110" s="72" t="str">
        <x:v>J</x:v>
      </x:c>
      <x:c r="C110" s="72" t="n">
        <x:v>1</x:v>
      </x:c>
      <x:c r="D110" s="72" t="n">
        <x:v>46</x:v>
      </x:c>
      <x:c r="E110" s="72" t="str">
        <x:f>IFERROR(IF(VLOOKUP(D110,Giocatori!$A$4:$C$73,2,FALSE)&lt;&gt;"",VLOOKUP(D110,Giocatori!$A$4:$C$73,2,FALSE),"Giocatore "&amp;D110),"Giocatore "&amp;D110)</x:f>
        <x:v>Cafarelli Manolo</x:v>
      </x:c>
      <x:c r="F110" s="63" t="str"/>
      <x:c r="G110" s="63" t="str"/>
      <x:c r="H110" s="63" t="n">
        <x:v>0</x:v>
      </x:c>
      <x:c r="I110" s="72" t="str">
        <x:f>IF(OR(G110="",G110&lt;1,G110&gt;5),"",CHOOSE(G110,9,6,4,2,1)+2*IF(H110="",0,H110))</x:f>
      </x:c>
      <x:c r="J110" s="63" t="str"/>
    </x:row>
    <x:row r="111">
      <x:c r="A111" s="72" t="n">
        <x:v>2</x:v>
      </x:c>
      <x:c r="B111" s="72" t="str">
        <x:v>J</x:v>
      </x:c>
      <x:c r="C111" s="72" t="n">
        <x:v>2</x:v>
      </x:c>
      <x:c r="D111" s="72" t="n">
        <x:v>42</x:v>
      </x:c>
      <x:c r="E111" s="72" t="str">
        <x:f>IFERROR(IF(VLOOKUP(D111,Giocatori!$A$4:$C$73,2,FALSE)&lt;&gt;"",VLOOKUP(D111,Giocatori!$A$4:$C$73,2,FALSE),"Giocatore "&amp;D111),"Giocatore "&amp;D111)</x:f>
        <x:v>Guerriero Giuseppe</x:v>
      </x:c>
      <x:c r="F111" s="63" t="str"/>
      <x:c r="G111" s="63" t="str"/>
      <x:c r="H111" s="63" t="n">
        <x:v>0</x:v>
      </x:c>
      <x:c r="I111" s="72" t="str">
        <x:f>IF(OR(G111="",G111&lt;1,G111&gt;5),"",CHOOSE(G111,9,6,4,2,1)+2*IF(H111="",0,H111))</x:f>
      </x:c>
      <x:c r="J111" s="63" t="str"/>
    </x:row>
    <x:row r="112">
      <x:c r="A112" s="72" t="n">
        <x:v>2</x:v>
      </x:c>
      <x:c r="B112" s="72" t="str">
        <x:v>J</x:v>
      </x:c>
      <x:c r="C112" s="72" t="n">
        <x:v>3</x:v>
      </x:c>
      <x:c r="D112" s="72" t="n">
        <x:v>38</x:v>
      </x:c>
      <x:c r="E112" s="72" t="str">
        <x:f>IFERROR(IF(VLOOKUP(D112,Giocatori!$A$4:$C$73,2,FALSE)&lt;&gt;"",VLOOKUP(D112,Giocatori!$A$4:$C$73,2,FALSE),"Giocatore "&amp;D112),"Giocatore "&amp;D112)</x:f>
        <x:v>Mauro Nicola</x:v>
      </x:c>
      <x:c r="F112" s="63" t="str"/>
      <x:c r="G112" s="63" t="str"/>
      <x:c r="H112" s="63" t="n">
        <x:v>0</x:v>
      </x:c>
      <x:c r="I112" s="72" t="str">
        <x:f>IF(OR(G112="",G112&lt;1,G112&gt;5),"",CHOOSE(G112,9,6,4,2,1)+2*IF(H112="",0,H112))</x:f>
      </x:c>
      <x:c r="J112" s="63" t="str"/>
    </x:row>
    <x:row r="113">
      <x:c r="A113" s="72" t="n">
        <x:v>2</x:v>
      </x:c>
      <x:c r="B113" s="72" t="str">
        <x:v>J</x:v>
      </x:c>
      <x:c r="C113" s="72" t="n">
        <x:v>4</x:v>
      </x:c>
      <x:c r="D113" s="72" t="n">
        <x:v>34</x:v>
      </x:c>
      <x:c r="E113" s="72" t="str">
        <x:f>IFERROR(IF(VLOOKUP(D113,Giocatori!$A$4:$C$73,2,FALSE)&lt;&gt;"",VLOOKUP(D113,Giocatori!$A$4:$C$73,2,FALSE),"Giocatore "&amp;D113),"Giocatore "&amp;D113)</x:f>
        <x:v>Fontanella Giuseppe</x:v>
      </x:c>
      <x:c r="F113" s="63" t="str"/>
      <x:c r="G113" s="63" t="str"/>
      <x:c r="H113" s="63" t="n">
        <x:v>0</x:v>
      </x:c>
      <x:c r="I113" s="72" t="str">
        <x:f>IF(OR(G113="",G113&lt;1,G113&gt;5),"",CHOOSE(G113,9,6,4,2,1)+2*IF(H113="",0,H113))</x:f>
      </x:c>
      <x:c r="J113" s="63" t="str"/>
    </x:row>
    <x:row r="114">
      <x:c r="A114" s="72" t="n">
        <x:v>2</x:v>
      </x:c>
      <x:c r="B114" s="72" t="str">
        <x:v>J</x:v>
      </x:c>
      <x:c r="C114" s="72" t="n">
        <x:v>5</x:v>
      </x:c>
      <x:c r="D114" s="72" t="n">
        <x:v>30</x:v>
      </x:c>
      <x:c r="E114" s="72" t="str">
        <x:f>IFERROR(IF(VLOOKUP(D114,Giocatori!$A$4:$C$73,2,FALSE)&lt;&gt;"",VLOOKUP(D114,Giocatori!$A$4:$C$73,2,FALSE),"Giocatore "&amp;D114),"Giocatore "&amp;D114)</x:f>
        <x:v>Tufano Giuseppe</x:v>
      </x:c>
      <x:c r="F114" s="63" t="str"/>
      <x:c r="G114" s="63" t="str"/>
      <x:c r="H114" s="63" t="n">
        <x:v>0</x:v>
      </x:c>
      <x:c r="I114" s="72" t="str">
        <x:f>IF(OR(G114="",G114&lt;1,G114&gt;5),"",CHOOSE(G114,9,6,4,2,1)+2*IF(H114="",0,H114))</x:f>
      </x:c>
      <x:c r="J114" s="63" t="str"/>
    </x:row>
    <x:row r="115">
      <x:c r="A115" s="72" t="n">
        <x:v>2</x:v>
      </x:c>
      <x:c r="B115" s="72" t="str">
        <x:v>K</x:v>
      </x:c>
      <x:c r="C115" s="72" t="n">
        <x:v>1</x:v>
      </x:c>
      <x:c r="D115" s="72" t="n">
        <x:v>51</x:v>
      </x:c>
      <x:c r="E115" s="72" t="str">
        <x:f>IFERROR(IF(VLOOKUP(D115,Giocatori!$A$4:$C$73,2,FALSE)&lt;&gt;"",VLOOKUP(D115,Giocatori!$A$4:$C$73,2,FALSE),"Giocatore "&amp;D115),"Giocatore "&amp;D115)</x:f>
        <x:v>Domenico</x:v>
      </x:c>
      <x:c r="F115" s="63" t="str"/>
      <x:c r="G115" s="63" t="str"/>
      <x:c r="H115" s="63" t="n">
        <x:v>0</x:v>
      </x:c>
      <x:c r="I115" s="72" t="str">
        <x:f>IF(OR(G115="",G115&lt;1,G115&gt;5),"",CHOOSE(G115,9,6,4,2,1)+2*IF(H115="",0,H115))</x:f>
      </x:c>
      <x:c r="J115" s="63" t="str"/>
    </x:row>
    <x:row r="116">
      <x:c r="A116" s="72" t="n">
        <x:v>2</x:v>
      </x:c>
      <x:c r="B116" s="72" t="str">
        <x:v>K</x:v>
      </x:c>
      <x:c r="C116" s="72" t="n">
        <x:v>2</x:v>
      </x:c>
      <x:c r="D116" s="72" t="n">
        <x:v>47</x:v>
      </x:c>
      <x:c r="E116" s="72" t="str">
        <x:f>IFERROR(IF(VLOOKUP(D116,Giocatori!$A$4:$C$73,2,FALSE)&lt;&gt;"",VLOOKUP(D116,Giocatori!$A$4:$C$73,2,FALSE),"Giocatore "&amp;D116),"Giocatore "&amp;D116)</x:f>
        <x:v>Casoria Felice</x:v>
      </x:c>
      <x:c r="F116" s="63" t="str"/>
      <x:c r="G116" s="63" t="str"/>
      <x:c r="H116" s="63" t="n">
        <x:v>0</x:v>
      </x:c>
      <x:c r="I116" s="72" t="str">
        <x:f>IF(OR(G116="",G116&lt;1,G116&gt;5),"",CHOOSE(G116,9,6,4,2,1)+2*IF(H116="",0,H116))</x:f>
      </x:c>
      <x:c r="J116" s="63" t="str"/>
    </x:row>
    <x:row r="117">
      <x:c r="A117" s="72" t="n">
        <x:v>2</x:v>
      </x:c>
      <x:c r="B117" s="72" t="str">
        <x:v>K</x:v>
      </x:c>
      <x:c r="C117" s="72" t="n">
        <x:v>3</x:v>
      </x:c>
      <x:c r="D117" s="72" t="n">
        <x:v>43</x:v>
      </x:c>
      <x:c r="E117" s="72" t="str">
        <x:f>IFERROR(IF(VLOOKUP(D117,Giocatori!$A$4:$C$73,2,FALSE)&lt;&gt;"",VLOOKUP(D117,Giocatori!$A$4:$C$73,2,FALSE),"Giocatore "&amp;D117),"Giocatore "&amp;D117)</x:f>
        <x:v>Ruotolo Sabatino</x:v>
      </x:c>
      <x:c r="F117" s="63" t="str"/>
      <x:c r="G117" s="63" t="str"/>
      <x:c r="H117" s="63" t="n">
        <x:v>0</x:v>
      </x:c>
      <x:c r="I117" s="72" t="str">
        <x:f>IF(OR(G117="",G117&lt;1,G117&gt;5),"",CHOOSE(G117,9,6,4,2,1)+2*IF(H117="",0,H117))</x:f>
      </x:c>
      <x:c r="J117" s="63" t="str"/>
    </x:row>
    <x:row r="118">
      <x:c r="A118" s="72" t="n">
        <x:v>2</x:v>
      </x:c>
      <x:c r="B118" s="72" t="str">
        <x:v>K</x:v>
      </x:c>
      <x:c r="C118" s="72" t="n">
        <x:v>4</x:v>
      </x:c>
      <x:c r="D118" s="72" t="n">
        <x:v>39</x:v>
      </x:c>
      <x:c r="E118" s="72" t="str">
        <x:f>IFERROR(IF(VLOOKUP(D118,Giocatori!$A$4:$C$73,2,FALSE)&lt;&gt;"",VLOOKUP(D118,Giocatori!$A$4:$C$73,2,FALSE),"Giocatore "&amp;D118),"Giocatore "&amp;D118)</x:f>
        <x:v>Ambrosino Lello</x:v>
      </x:c>
      <x:c r="F118" s="63" t="str"/>
      <x:c r="G118" s="63" t="str"/>
      <x:c r="H118" s="63" t="n">
        <x:v>0</x:v>
      </x:c>
      <x:c r="I118" s="72" t="str">
        <x:f>IF(OR(G118="",G118&lt;1,G118&gt;5),"",CHOOSE(G118,9,6,4,2,1)+2*IF(H118="",0,H118))</x:f>
      </x:c>
      <x:c r="J118" s="63" t="str"/>
    </x:row>
    <x:row r="119">
      <x:c r="A119" s="72" t="n">
        <x:v>2</x:v>
      </x:c>
      <x:c r="B119" s="72" t="str">
        <x:v>K</x:v>
      </x:c>
      <x:c r="C119" s="72" t="n">
        <x:v>5</x:v>
      </x:c>
      <x:c r="D119" s="72" t="n">
        <x:v>35</x:v>
      </x:c>
      <x:c r="E119" s="72" t="str">
        <x:f>IFERROR(IF(VLOOKUP(D119,Giocatori!$A$4:$C$73,2,FALSE)&lt;&gt;"",VLOOKUP(D119,Giocatori!$A$4:$C$73,2,FALSE),"Giocatore "&amp;D119),"Giocatore "&amp;D119)</x:f>
        <x:v>Panico Giuseppe</x:v>
      </x:c>
      <x:c r="F119" s="63" t="str"/>
      <x:c r="G119" s="63" t="str"/>
      <x:c r="H119" s="63" t="n">
        <x:v>0</x:v>
      </x:c>
      <x:c r="I119" s="72" t="str">
        <x:f>IF(OR(G119="",G119&lt;1,G119&gt;5),"",CHOOSE(G119,9,6,4,2,1)+2*IF(H119="",0,H119))</x:f>
      </x:c>
      <x:c r="J119" s="63" t="str"/>
    </x:row>
    <x:row r="120">
      <x:c r="A120" s="72" t="n">
        <x:v>2</x:v>
      </x:c>
      <x:c r="B120" s="72" t="str">
        <x:v>L</x:v>
      </x:c>
      <x:c r="C120" s="72" t="n">
        <x:v>1</x:v>
      </x:c>
      <x:c r="D120" s="72" t="n">
        <x:v>56</x:v>
      </x:c>
      <x:c r="E120" s="72" t="str">
        <x:f>IFERROR(IF(VLOOKUP(D120,Giocatori!$A$4:$C$73,2,FALSE)&lt;&gt;"",VLOOKUP(D120,Giocatori!$A$4:$C$73,2,FALSE),"Giocatore "&amp;D120),"Giocatore "&amp;D120)</x:f>
        <x:v>Oreste</x:v>
      </x:c>
      <x:c r="F120" s="63" t="str"/>
      <x:c r="G120" s="63" t="str"/>
      <x:c r="H120" s="63" t="n">
        <x:v>0</x:v>
      </x:c>
      <x:c r="I120" s="72" t="str">
        <x:f>IF(OR(G120="",G120&lt;1,G120&gt;5),"",CHOOSE(G120,9,6,4,2,1)+2*IF(H120="",0,H120))</x:f>
      </x:c>
      <x:c r="J120" s="63" t="str"/>
    </x:row>
    <x:row r="121">
      <x:c r="A121" s="72" t="n">
        <x:v>2</x:v>
      </x:c>
      <x:c r="B121" s="72" t="str">
        <x:v>L</x:v>
      </x:c>
      <x:c r="C121" s="72" t="n">
        <x:v>2</x:v>
      </x:c>
      <x:c r="D121" s="72" t="n">
        <x:v>52</x:v>
      </x:c>
      <x:c r="E121" s="72" t="str">
        <x:f>IFERROR(IF(VLOOKUP(D121,Giocatori!$A$4:$C$73,2,FALSE)&lt;&gt;"",VLOOKUP(D121,Giocatori!$A$4:$C$73,2,FALSE),"Giocatore "&amp;D121),"Giocatore "&amp;D121)</x:f>
        <x:v>Montanera Michele</x:v>
      </x:c>
      <x:c r="F121" s="63" t="str"/>
      <x:c r="G121" s="63" t="str"/>
      <x:c r="H121" s="63" t="n">
        <x:v>0</x:v>
      </x:c>
      <x:c r="I121" s="72" t="str">
        <x:f>IF(OR(G121="",G121&lt;1,G121&gt;5),"",CHOOSE(G121,9,6,4,2,1)+2*IF(H121="",0,H121))</x:f>
      </x:c>
      <x:c r="J121" s="63" t="str"/>
    </x:row>
    <x:row r="122">
      <x:c r="A122" s="72" t="n">
        <x:v>2</x:v>
      </x:c>
      <x:c r="B122" s="72" t="str">
        <x:v>L</x:v>
      </x:c>
      <x:c r="C122" s="72" t="n">
        <x:v>3</x:v>
      </x:c>
      <x:c r="D122" s="72" t="n">
        <x:v>48</x:v>
      </x:c>
      <x:c r="E122" s="72" t="str">
        <x:f>IFERROR(IF(VLOOKUP(D122,Giocatori!$A$4:$C$73,2,FALSE)&lt;&gt;"",VLOOKUP(D122,Giocatori!$A$4:$C$73,2,FALSE),"Giocatore "&amp;D122),"Giocatore "&amp;D122)</x:f>
        <x:v>Nspolitano Carlo</x:v>
      </x:c>
      <x:c r="F122" s="63" t="str"/>
      <x:c r="G122" s="63" t="str"/>
      <x:c r="H122" s="63" t="n">
        <x:v>0</x:v>
      </x:c>
      <x:c r="I122" s="72" t="str">
        <x:f>IF(OR(G122="",G122&lt;1,G122&gt;5),"",CHOOSE(G122,9,6,4,2,1)+2*IF(H122="",0,H122))</x:f>
      </x:c>
      <x:c r="J122" s="63" t="str"/>
    </x:row>
    <x:row r="123">
      <x:c r="A123" s="72" t="n">
        <x:v>2</x:v>
      </x:c>
      <x:c r="B123" s="72" t="str">
        <x:v>L</x:v>
      </x:c>
      <x:c r="C123" s="72" t="n">
        <x:v>4</x:v>
      </x:c>
      <x:c r="D123" s="72" t="n">
        <x:v>44</x:v>
      </x:c>
      <x:c r="E123" s="72" t="str">
        <x:f>IFERROR(IF(VLOOKUP(D123,Giocatori!$A$4:$C$73,2,FALSE)&lt;&gt;"",VLOOKUP(D123,Giocatori!$A$4:$C$73,2,FALSE),"Giocatore "&amp;D123),"Giocatore "&amp;D123)</x:f>
        <x:v>Abbate Michele</x:v>
      </x:c>
      <x:c r="F123" s="63" t="str"/>
      <x:c r="G123" s="63" t="str"/>
      <x:c r="H123" s="63" t="n">
        <x:v>0</x:v>
      </x:c>
      <x:c r="I123" s="72" t="str">
        <x:f>IF(OR(G123="",G123&lt;1,G123&gt;5),"",CHOOSE(G123,9,6,4,2,1)+2*IF(H123="",0,H123))</x:f>
      </x:c>
      <x:c r="J123" s="63" t="str"/>
    </x:row>
    <x:row r="124">
      <x:c r="A124" s="72" t="n">
        <x:v>2</x:v>
      </x:c>
      <x:c r="B124" s="72" t="str">
        <x:v>L</x:v>
      </x:c>
      <x:c r="C124" s="72" t="n">
        <x:v>5</x:v>
      </x:c>
      <x:c r="D124" s="72" t="n">
        <x:v>40</x:v>
      </x:c>
      <x:c r="E124" s="72" t="str">
        <x:f>IFERROR(IF(VLOOKUP(D124,Giocatori!$A$4:$C$73,2,FALSE)&lt;&gt;"",VLOOKUP(D124,Giocatori!$A$4:$C$73,2,FALSE),"Giocatore "&amp;D124),"Giocatore "&amp;D124)</x:f>
        <x:v>Carbone Felice</x:v>
      </x:c>
      <x:c r="F124" s="63" t="str"/>
      <x:c r="G124" s="63" t="str"/>
      <x:c r="H124" s="63" t="n">
        <x:v>0</x:v>
      </x:c>
      <x:c r="I124" s="72" t="str">
        <x:f>IF(OR(G124="",G124&lt;1,G124&gt;5),"",CHOOSE(G124,9,6,4,2,1)+2*IF(H124="",0,H124))</x:f>
      </x:c>
      <x:c r="J124" s="63" t="str"/>
    </x:row>
    <x:row r="125">
      <x:c r="A125" s="76" t="n">
        <x:v>3</x:v>
      </x:c>
      <x:c r="B125" s="76" t="str">
        <x:v>A</x:v>
      </x:c>
      <x:c r="C125" s="76" t="n">
        <x:v>1</x:v>
      </x:c>
      <x:c r="D125" s="76" t="n">
        <x:v>1</x:v>
      </x:c>
      <x:c r="E125" s="76" t="str">
        <x:f>IFERROR(IF(VLOOKUP(D125,Giocatori!$A$4:$C$73,2,FALSE)&lt;&gt;"",VLOOKUP(D125,Giocatori!$A$4:$C$73,2,FALSE),"Giocatore "&amp;D125),"Giocatore "&amp;D125)</x:f>
        <x:v>Annunziata Michele</x:v>
      </x:c>
      <x:c r="F125" s="77" t="str"/>
      <x:c r="G125" s="77" t="str"/>
      <x:c r="H125" s="77" t="n">
        <x:v>0</x:v>
      </x:c>
      <x:c r="I125" s="76" t="str">
        <x:f>IF(OR(G125="",G125&lt;1,G125&gt;5),"",CHOOSE(G125,9,6,4,2,1)+2*IF(H125="",0,H125))</x:f>
      </x:c>
      <x:c r="J125" s="77" t="str"/>
    </x:row>
    <x:row r="126">
      <x:c r="A126" s="72" t="n">
        <x:v>3</x:v>
      </x:c>
      <x:c r="B126" s="72" t="str">
        <x:v>A</x:v>
      </x:c>
      <x:c r="C126" s="72" t="n">
        <x:v>2</x:v>
      </x:c>
      <x:c r="D126" s="72" t="n">
        <x:v>52</x:v>
      </x:c>
      <x:c r="E126" s="72" t="str">
        <x:f>IFERROR(IF(VLOOKUP(D126,Giocatori!$A$4:$C$73,2,FALSE)&lt;&gt;"",VLOOKUP(D126,Giocatori!$A$4:$C$73,2,FALSE),"Giocatore "&amp;D126),"Giocatore "&amp;D126)</x:f>
        <x:v>Montanera Michele</x:v>
      </x:c>
      <x:c r="F126" s="63" t="str"/>
      <x:c r="G126" s="63" t="str"/>
      <x:c r="H126" s="63" t="n">
        <x:v>0</x:v>
      </x:c>
      <x:c r="I126" s="72" t="str">
        <x:f>IF(OR(G126="",G126&lt;1,G126&gt;5),"",CHOOSE(G126,9,6,4,2,1)+2*IF(H126="",0,H126))</x:f>
      </x:c>
      <x:c r="J126" s="63" t="str"/>
    </x:row>
    <x:row r="127">
      <x:c r="A127" s="72" t="n">
        <x:v>3</x:v>
      </x:c>
      <x:c r="B127" s="72" t="str">
        <x:v>A</x:v>
      </x:c>
      <x:c r="C127" s="72" t="n">
        <x:v>3</x:v>
      </x:c>
      <x:c r="D127" s="72" t="n">
        <x:v>43</x:v>
      </x:c>
      <x:c r="E127" s="72" t="str">
        <x:f>IFERROR(IF(VLOOKUP(D127,Giocatori!$A$4:$C$73,2,FALSE)&lt;&gt;"",VLOOKUP(D127,Giocatori!$A$4:$C$73,2,FALSE),"Giocatore "&amp;D127),"Giocatore "&amp;D127)</x:f>
        <x:v>Ruotolo Sabatino</x:v>
      </x:c>
      <x:c r="F127" s="63" t="str"/>
      <x:c r="G127" s="63" t="str"/>
      <x:c r="H127" s="63" t="n">
        <x:v>0</x:v>
      </x:c>
      <x:c r="I127" s="72" t="str">
        <x:f>IF(OR(G127="",G127&lt;1,G127&gt;5),"",CHOOSE(G127,9,6,4,2,1)+2*IF(H127="",0,H127))</x:f>
      </x:c>
      <x:c r="J127" s="63" t="str"/>
    </x:row>
    <x:row r="128">
      <x:c r="A128" s="72" t="n">
        <x:v>3</x:v>
      </x:c>
      <x:c r="B128" s="72" t="str">
        <x:v>A</x:v>
      </x:c>
      <x:c r="C128" s="72" t="n">
        <x:v>4</x:v>
      </x:c>
      <x:c r="D128" s="72" t="n">
        <x:v>34</x:v>
      </x:c>
      <x:c r="E128" s="72" t="str">
        <x:f>IFERROR(IF(VLOOKUP(D128,Giocatori!$A$4:$C$73,2,FALSE)&lt;&gt;"",VLOOKUP(D128,Giocatori!$A$4:$C$73,2,FALSE),"Giocatore "&amp;D128),"Giocatore "&amp;D128)</x:f>
        <x:v>Fontanella Giuseppe</x:v>
      </x:c>
      <x:c r="F128" s="63" t="str"/>
      <x:c r="G128" s="63" t="str"/>
      <x:c r="H128" s="63" t="n">
        <x:v>0</x:v>
      </x:c>
      <x:c r="I128" s="72" t="str">
        <x:f>IF(OR(G128="",G128&lt;1,G128&gt;5),"",CHOOSE(G128,9,6,4,2,1)+2*IF(H128="",0,H128))</x:f>
      </x:c>
      <x:c r="J128" s="63" t="str"/>
    </x:row>
    <x:row r="129">
      <x:c r="A129" s="72" t="n">
        <x:v>3</x:v>
      </x:c>
      <x:c r="B129" s="72" t="str">
        <x:v>A</x:v>
      </x:c>
      <x:c r="C129" s="72" t="n">
        <x:v>5</x:v>
      </x:c>
      <x:c r="D129" s="72" t="n">
        <x:v>25</x:v>
      </x:c>
      <x:c r="E129" s="72" t="str">
        <x:f>IFERROR(IF(VLOOKUP(D129,Giocatori!$A$4:$C$73,2,FALSE)&lt;&gt;"",VLOOKUP(D129,Giocatori!$A$4:$C$73,2,FALSE),"Giocatore "&amp;D129),"Giocatore "&amp;D129)</x:f>
        <x:v>Giugliano Francesco</x:v>
      </x:c>
      <x:c r="F129" s="63" t="str"/>
      <x:c r="G129" s="63" t="str"/>
      <x:c r="H129" s="63" t="n">
        <x:v>0</x:v>
      </x:c>
      <x:c r="I129" s="72" t="str">
        <x:f>IF(OR(G129="",G129&lt;1,G129&gt;5),"",CHOOSE(G129,9,6,4,2,1)+2*IF(H129="",0,H129))</x:f>
      </x:c>
      <x:c r="J129" s="63" t="str"/>
    </x:row>
    <x:row r="130">
      <x:c r="A130" s="72" t="n">
        <x:v>3</x:v>
      </x:c>
      <x:c r="B130" s="72" t="str">
        <x:v>B</x:v>
      </x:c>
      <x:c r="C130" s="72" t="n">
        <x:v>1</x:v>
      </x:c>
      <x:c r="D130" s="72" t="n">
        <x:v>6</x:v>
      </x:c>
      <x:c r="E130" s="72" t="str">
        <x:f>IFERROR(IF(VLOOKUP(D130,Giocatori!$A$4:$C$73,2,FALSE)&lt;&gt;"",VLOOKUP(D130,Giocatori!$A$4:$C$73,2,FALSE),"Giocatore "&amp;D130),"Giocatore "&amp;D130)</x:f>
        <x:v>Panico Pasquale</x:v>
      </x:c>
      <x:c r="F130" s="63" t="str"/>
      <x:c r="G130" s="63" t="str"/>
      <x:c r="H130" s="63" t="n">
        <x:v>0</x:v>
      </x:c>
      <x:c r="I130" s="72" t="str">
        <x:f>IF(OR(G130="",G130&lt;1,G130&gt;5),"",CHOOSE(G130,9,6,4,2,1)+2*IF(H130="",0,H130))</x:f>
      </x:c>
      <x:c r="J130" s="63" t="str"/>
    </x:row>
    <x:row r="131">
      <x:c r="A131" s="72" t="n">
        <x:v>3</x:v>
      </x:c>
      <x:c r="B131" s="72" t="str">
        <x:v>B</x:v>
      </x:c>
      <x:c r="C131" s="72" t="n">
        <x:v>2</x:v>
      </x:c>
      <x:c r="D131" s="72" t="n">
        <x:v>57</x:v>
      </x:c>
      <x:c r="E131" s="72" t="str">
        <x:f>IFERROR(IF(VLOOKUP(D131,Giocatori!$A$4:$C$73,2,FALSE)&lt;&gt;"",VLOOKUP(D131,Giocatori!$A$4:$C$73,2,FALSE),"Giocatore "&amp;D131),"Giocatore "&amp;D131)</x:f>
        <x:v>Sirico Crescenzo</x:v>
      </x:c>
      <x:c r="F131" s="63" t="str"/>
      <x:c r="G131" s="63" t="str"/>
      <x:c r="H131" s="63" t="n">
        <x:v>0</x:v>
      </x:c>
      <x:c r="I131" s="72" t="str">
        <x:f>IF(OR(G131="",G131&lt;1,G131&gt;5),"",CHOOSE(G131,9,6,4,2,1)+2*IF(H131="",0,H131))</x:f>
      </x:c>
      <x:c r="J131" s="63" t="str"/>
    </x:row>
    <x:row r="132">
      <x:c r="A132" s="72" t="n">
        <x:v>3</x:v>
      </x:c>
      <x:c r="B132" s="72" t="str">
        <x:v>B</x:v>
      </x:c>
      <x:c r="C132" s="72" t="n">
        <x:v>3</x:v>
      </x:c>
      <x:c r="D132" s="72" t="n">
        <x:v>48</x:v>
      </x:c>
      <x:c r="E132" s="72" t="str">
        <x:f>IFERROR(IF(VLOOKUP(D132,Giocatori!$A$4:$C$73,2,FALSE)&lt;&gt;"",VLOOKUP(D132,Giocatori!$A$4:$C$73,2,FALSE),"Giocatore "&amp;D132),"Giocatore "&amp;D132)</x:f>
        <x:v>Nspolitano Carlo</x:v>
      </x:c>
      <x:c r="F132" s="63" t="str"/>
      <x:c r="G132" s="63" t="str"/>
      <x:c r="H132" s="63" t="n">
        <x:v>0</x:v>
      </x:c>
      <x:c r="I132" s="72" t="str">
        <x:f>IF(OR(G132="",G132&lt;1,G132&gt;5),"",CHOOSE(G132,9,6,4,2,1)+2*IF(H132="",0,H132))</x:f>
      </x:c>
      <x:c r="J132" s="63" t="str"/>
    </x:row>
    <x:row r="133">
      <x:c r="A133" s="72" t="n">
        <x:v>3</x:v>
      </x:c>
      <x:c r="B133" s="72" t="str">
        <x:v>B</x:v>
      </x:c>
      <x:c r="C133" s="72" t="n">
        <x:v>4</x:v>
      </x:c>
      <x:c r="D133" s="72" t="n">
        <x:v>39</x:v>
      </x:c>
      <x:c r="E133" s="72" t="str">
        <x:f>IFERROR(IF(VLOOKUP(D133,Giocatori!$A$4:$C$73,2,FALSE)&lt;&gt;"",VLOOKUP(D133,Giocatori!$A$4:$C$73,2,FALSE),"Giocatore "&amp;D133),"Giocatore "&amp;D133)</x:f>
        <x:v>Ambrosino Lello</x:v>
      </x:c>
      <x:c r="F133" s="63" t="str"/>
      <x:c r="G133" s="63" t="str"/>
      <x:c r="H133" s="63" t="n">
        <x:v>0</x:v>
      </x:c>
      <x:c r="I133" s="72" t="str">
        <x:f>IF(OR(G133="",G133&lt;1,G133&gt;5),"",CHOOSE(G133,9,6,4,2,1)+2*IF(H133="",0,H133))</x:f>
      </x:c>
      <x:c r="J133" s="63" t="str"/>
    </x:row>
    <x:row r="134">
      <x:c r="A134" s="72" t="n">
        <x:v>3</x:v>
      </x:c>
      <x:c r="B134" s="72" t="str">
        <x:v>B</x:v>
      </x:c>
      <x:c r="C134" s="72" t="n">
        <x:v>5</x:v>
      </x:c>
      <x:c r="D134" s="72" t="n">
        <x:v>30</x:v>
      </x:c>
      <x:c r="E134" s="72" t="str">
        <x:f>IFERROR(IF(VLOOKUP(D134,Giocatori!$A$4:$C$73,2,FALSE)&lt;&gt;"",VLOOKUP(D134,Giocatori!$A$4:$C$73,2,FALSE),"Giocatore "&amp;D134),"Giocatore "&amp;D134)</x:f>
        <x:v>Tufano Giuseppe</x:v>
      </x:c>
      <x:c r="F134" s="63" t="str"/>
      <x:c r="G134" s="63" t="str"/>
      <x:c r="H134" s="63" t="n">
        <x:v>0</x:v>
      </x:c>
      <x:c r="I134" s="72" t="str">
        <x:f>IF(OR(G134="",G134&lt;1,G134&gt;5),"",CHOOSE(G134,9,6,4,2,1)+2*IF(H134="",0,H134))</x:f>
      </x:c>
      <x:c r="J134" s="63" t="str"/>
    </x:row>
    <x:row r="135">
      <x:c r="A135" s="72" t="n">
        <x:v>3</x:v>
      </x:c>
      <x:c r="B135" s="72" t="str">
        <x:v>C</x:v>
      </x:c>
      <x:c r="C135" s="72" t="n">
        <x:v>1</x:v>
      </x:c>
      <x:c r="D135" s="72" t="n">
        <x:v>11</x:v>
      </x:c>
      <x:c r="E135" s="72" t="str">
        <x:f>IFERROR(IF(VLOOKUP(D135,Giocatori!$A$4:$C$73,2,FALSE)&lt;&gt;"",VLOOKUP(D135,Giocatori!$A$4:$C$73,2,FALSE),"Giocatore "&amp;D135),"Giocatore "&amp;D135)</x:f>
        <x:v>Notaro Giacomo</x:v>
      </x:c>
      <x:c r="F135" s="63" t="str"/>
      <x:c r="G135" s="63" t="str"/>
      <x:c r="H135" s="63" t="n">
        <x:v>0</x:v>
      </x:c>
      <x:c r="I135" s="72" t="str">
        <x:f>IF(OR(G135="",G135&lt;1,G135&gt;5),"",CHOOSE(G135,9,6,4,2,1)+2*IF(H135="",0,H135))</x:f>
      </x:c>
      <x:c r="J135" s="63" t="str"/>
    </x:row>
    <x:row r="136">
      <x:c r="A136" s="72" t="n">
        <x:v>3</x:v>
      </x:c>
      <x:c r="B136" s="72" t="str">
        <x:v>C</x:v>
      </x:c>
      <x:c r="C136" s="72" t="n">
        <x:v>2</x:v>
      </x:c>
      <x:c r="D136" s="72" t="n">
        <x:v>2</x:v>
      </x:c>
      <x:c r="E136" s="72" t="str">
        <x:f>IFERROR(IF(VLOOKUP(D136,Giocatori!$A$4:$C$73,2,FALSE)&lt;&gt;"",VLOOKUP(D136,Giocatori!$A$4:$C$73,2,FALSE),"Giocatore "&amp;D136),"Giocatore "&amp;D136)</x:f>
        <x:v>La Marca Carlo</x:v>
      </x:c>
      <x:c r="F136" s="63" t="str"/>
      <x:c r="G136" s="63" t="str"/>
      <x:c r="H136" s="63" t="n">
        <x:v>0</x:v>
      </x:c>
      <x:c r="I136" s="72" t="str">
        <x:f>IF(OR(G136="",G136&lt;1,G136&gt;5),"",CHOOSE(G136,9,6,4,2,1)+2*IF(H136="",0,H136))</x:f>
      </x:c>
      <x:c r="J136" s="63" t="str"/>
    </x:row>
    <x:row r="137">
      <x:c r="A137" s="72" t="n">
        <x:v>3</x:v>
      </x:c>
      <x:c r="B137" s="72" t="str">
        <x:v>C</x:v>
      </x:c>
      <x:c r="C137" s="72" t="n">
        <x:v>3</x:v>
      </x:c>
      <x:c r="D137" s="72" t="n">
        <x:v>53</x:v>
      </x:c>
      <x:c r="E137" s="72" t="str">
        <x:f>IFERROR(IF(VLOOKUP(D137,Giocatori!$A$4:$C$73,2,FALSE)&lt;&gt;"",VLOOKUP(D137,Giocatori!$A$4:$C$73,2,FALSE),"Giocatore "&amp;D137),"Giocatore "&amp;D137)</x:f>
        <x:v>Gaita Rossano</x:v>
      </x:c>
      <x:c r="F137" s="63" t="str"/>
      <x:c r="G137" s="63" t="str"/>
      <x:c r="H137" s="63" t="n">
        <x:v>0</x:v>
      </x:c>
      <x:c r="I137" s="72" t="str">
        <x:f>IF(OR(G137="",G137&lt;1,G137&gt;5),"",CHOOSE(G137,9,6,4,2,1)+2*IF(H137="",0,H137))</x:f>
      </x:c>
      <x:c r="J137" s="63" t="str"/>
    </x:row>
    <x:row r="138">
      <x:c r="A138" s="72" t="n">
        <x:v>3</x:v>
      </x:c>
      <x:c r="B138" s="72" t="str">
        <x:v>C</x:v>
      </x:c>
      <x:c r="C138" s="72" t="n">
        <x:v>4</x:v>
      </x:c>
      <x:c r="D138" s="72" t="n">
        <x:v>44</x:v>
      </x:c>
      <x:c r="E138" s="72" t="str">
        <x:f>IFERROR(IF(VLOOKUP(D138,Giocatori!$A$4:$C$73,2,FALSE)&lt;&gt;"",VLOOKUP(D138,Giocatori!$A$4:$C$73,2,FALSE),"Giocatore "&amp;D138),"Giocatore "&amp;D138)</x:f>
        <x:v>Abbate Michele</x:v>
      </x:c>
      <x:c r="F138" s="63" t="str"/>
      <x:c r="G138" s="63" t="str"/>
      <x:c r="H138" s="63" t="n">
        <x:v>0</x:v>
      </x:c>
      <x:c r="I138" s="72" t="str">
        <x:f>IF(OR(G138="",G138&lt;1,G138&gt;5),"",CHOOSE(G138,9,6,4,2,1)+2*IF(H138="",0,H138))</x:f>
      </x:c>
      <x:c r="J138" s="63" t="str"/>
    </x:row>
    <x:row r="139">
      <x:c r="A139" s="72" t="n">
        <x:v>3</x:v>
      </x:c>
      <x:c r="B139" s="72" t="str">
        <x:v>C</x:v>
      </x:c>
      <x:c r="C139" s="72" t="n">
        <x:v>5</x:v>
      </x:c>
      <x:c r="D139" s="72" t="n">
        <x:v>35</x:v>
      </x:c>
      <x:c r="E139" s="72" t="str">
        <x:f>IFERROR(IF(VLOOKUP(D139,Giocatori!$A$4:$C$73,2,FALSE)&lt;&gt;"",VLOOKUP(D139,Giocatori!$A$4:$C$73,2,FALSE),"Giocatore "&amp;D139),"Giocatore "&amp;D139)</x:f>
        <x:v>Panico Giuseppe</x:v>
      </x:c>
      <x:c r="F139" s="63" t="str"/>
      <x:c r="G139" s="63" t="str"/>
      <x:c r="H139" s="63" t="n">
        <x:v>0</x:v>
      </x:c>
      <x:c r="I139" s="72" t="str">
        <x:f>IF(OR(G139="",G139&lt;1,G139&gt;5),"",CHOOSE(G139,9,6,4,2,1)+2*IF(H139="",0,H139))</x:f>
      </x:c>
      <x:c r="J139" s="63" t="str"/>
    </x:row>
    <x:row r="140">
      <x:c r="A140" s="72" t="n">
        <x:v>3</x:v>
      </x:c>
      <x:c r="B140" s="72" t="str">
        <x:v>D</x:v>
      </x:c>
      <x:c r="C140" s="72" t="n">
        <x:v>1</x:v>
      </x:c>
      <x:c r="D140" s="72" t="n">
        <x:v>16</x:v>
      </x:c>
      <x:c r="E140" s="72" t="str">
        <x:f>IFERROR(IF(VLOOKUP(D140,Giocatori!$A$4:$C$73,2,FALSE)&lt;&gt;"",VLOOKUP(D140,Giocatori!$A$4:$C$73,2,FALSE),"Giocatore "&amp;D140),"Giocatore "&amp;D140)</x:f>
        <x:v>Beracci Benedetto</x:v>
      </x:c>
      <x:c r="F140" s="63" t="str"/>
      <x:c r="G140" s="63" t="str"/>
      <x:c r="H140" s="63" t="n">
        <x:v>0</x:v>
      </x:c>
      <x:c r="I140" s="72" t="str">
        <x:f>IF(OR(G140="",G140&lt;1,G140&gt;5),"",CHOOSE(G140,9,6,4,2,1)+2*IF(H140="",0,H140))</x:f>
      </x:c>
      <x:c r="J140" s="63" t="str"/>
    </x:row>
    <x:row r="141">
      <x:c r="A141" s="72" t="n">
        <x:v>3</x:v>
      </x:c>
      <x:c r="B141" s="72" t="str">
        <x:v>D</x:v>
      </x:c>
      <x:c r="C141" s="72" t="n">
        <x:v>2</x:v>
      </x:c>
      <x:c r="D141" s="72" t="n">
        <x:v>7</x:v>
      </x:c>
      <x:c r="E141" s="72" t="str">
        <x:f>IFERROR(IF(VLOOKUP(D141,Giocatori!$A$4:$C$73,2,FALSE)&lt;&gt;"",VLOOKUP(D141,Giocatori!$A$4:$C$73,2,FALSE),"Giocatore "&amp;D141),"Giocatore "&amp;D141)</x:f>
        <x:v>Ambrosino Michele</x:v>
      </x:c>
      <x:c r="F141" s="63" t="str"/>
      <x:c r="G141" s="63" t="str"/>
      <x:c r="H141" s="63" t="n">
        <x:v>0</x:v>
      </x:c>
      <x:c r="I141" s="72" t="str">
        <x:f>IF(OR(G141="",G141&lt;1,G141&gt;5),"",CHOOSE(G141,9,6,4,2,1)+2*IF(H141="",0,H141))</x:f>
      </x:c>
      <x:c r="J141" s="63" t="str"/>
    </x:row>
    <x:row r="142">
      <x:c r="A142" s="72" t="n">
        <x:v>3</x:v>
      </x:c>
      <x:c r="B142" s="72" t="str">
        <x:v>D</x:v>
      </x:c>
      <x:c r="C142" s="72" t="n">
        <x:v>3</x:v>
      </x:c>
      <x:c r="D142" s="72" t="n">
        <x:v>58</x:v>
      </x:c>
      <x:c r="E142" s="72" t="str">
        <x:f>IFERROR(IF(VLOOKUP(D142,Giocatori!$A$4:$C$73,2,FALSE)&lt;&gt;"",VLOOKUP(D142,Giocatori!$A$4:$C$73,2,FALSE),"Giocatore "&amp;D142),"Giocatore "&amp;D142)</x:f>
        <x:v>Mauro Salvatore</x:v>
      </x:c>
      <x:c r="F142" s="63" t="str"/>
      <x:c r="G142" s="63" t="str"/>
      <x:c r="H142" s="63" t="n">
        <x:v>0</x:v>
      </x:c>
      <x:c r="I142" s="72" t="str">
        <x:f>IF(OR(G142="",G142&lt;1,G142&gt;5),"",CHOOSE(G142,9,6,4,2,1)+2*IF(H142="",0,H142))</x:f>
      </x:c>
      <x:c r="J142" s="63" t="str"/>
    </x:row>
    <x:row r="143">
      <x:c r="A143" s="72" t="n">
        <x:v>3</x:v>
      </x:c>
      <x:c r="B143" s="72" t="str">
        <x:v>D</x:v>
      </x:c>
      <x:c r="C143" s="72" t="n">
        <x:v>4</x:v>
      </x:c>
      <x:c r="D143" s="72" t="n">
        <x:v>49</x:v>
      </x:c>
      <x:c r="E143" s="72" t="str">
        <x:f>IFERROR(IF(VLOOKUP(D143,Giocatori!$A$4:$C$73,2,FALSE)&lt;&gt;"",VLOOKUP(D143,Giocatori!$A$4:$C$73,2,FALSE),"Giocatore "&amp;D143),"Giocatore "&amp;D143)</x:f>
        <x:v>Tufano Michele</x:v>
      </x:c>
      <x:c r="F143" s="63" t="str"/>
      <x:c r="G143" s="63" t="str"/>
      <x:c r="H143" s="63" t="n">
        <x:v>0</x:v>
      </x:c>
      <x:c r="I143" s="72" t="str">
        <x:f>IF(OR(G143="",G143&lt;1,G143&gt;5),"",CHOOSE(G143,9,6,4,2,1)+2*IF(H143="",0,H143))</x:f>
      </x:c>
      <x:c r="J143" s="63" t="str"/>
    </x:row>
    <x:row r="144">
      <x:c r="A144" s="72" t="n">
        <x:v>3</x:v>
      </x:c>
      <x:c r="B144" s="72" t="str">
        <x:v>D</x:v>
      </x:c>
      <x:c r="C144" s="72" t="n">
        <x:v>5</x:v>
      </x:c>
      <x:c r="D144" s="72" t="n">
        <x:v>40</x:v>
      </x:c>
      <x:c r="E144" s="72" t="str">
        <x:f>IFERROR(IF(VLOOKUP(D144,Giocatori!$A$4:$C$73,2,FALSE)&lt;&gt;"",VLOOKUP(D144,Giocatori!$A$4:$C$73,2,FALSE),"Giocatore "&amp;D144),"Giocatore "&amp;D144)</x:f>
        <x:v>Carbone Felice</x:v>
      </x:c>
      <x:c r="F144" s="63" t="str"/>
      <x:c r="G144" s="63" t="str"/>
      <x:c r="H144" s="63" t="n">
        <x:v>0</x:v>
      </x:c>
      <x:c r="I144" s="72" t="str">
        <x:f>IF(OR(G144="",G144&lt;1,G144&gt;5),"",CHOOSE(G144,9,6,4,2,1)+2*IF(H144="",0,H144))</x:f>
      </x:c>
      <x:c r="J144" s="63" t="str"/>
    </x:row>
    <x:row r="145">
      <x:c r="A145" s="72" t="n">
        <x:v>3</x:v>
      </x:c>
      <x:c r="B145" s="72" t="str">
        <x:v>E</x:v>
      </x:c>
      <x:c r="C145" s="72" t="n">
        <x:v>1</x:v>
      </x:c>
      <x:c r="D145" s="72" t="n">
        <x:v>21</x:v>
      </x:c>
      <x:c r="E145" s="72" t="str">
        <x:f>IFERROR(IF(VLOOKUP(D145,Giocatori!$A$4:$C$73,2,FALSE)&lt;&gt;"",VLOOKUP(D145,Giocatori!$A$4:$C$73,2,FALSE),"Giocatore "&amp;D145),"Giocatore "&amp;D145)</x:f>
        <x:v>Tufano Raffaele</x:v>
      </x:c>
      <x:c r="F145" s="63" t="str"/>
      <x:c r="G145" s="63" t="str"/>
      <x:c r="H145" s="63" t="n">
        <x:v>0</x:v>
      </x:c>
      <x:c r="I145" s="72" t="str">
        <x:f>IF(OR(G145="",G145&lt;1,G145&gt;5),"",CHOOSE(G145,9,6,4,2,1)+2*IF(H145="",0,H145))</x:f>
      </x:c>
      <x:c r="J145" s="63" t="str"/>
    </x:row>
    <x:row r="146">
      <x:c r="A146" s="72" t="n">
        <x:v>3</x:v>
      </x:c>
      <x:c r="B146" s="72" t="str">
        <x:v>E</x:v>
      </x:c>
      <x:c r="C146" s="72" t="n">
        <x:v>2</x:v>
      </x:c>
      <x:c r="D146" s="72" t="n">
        <x:v>12</x:v>
      </x:c>
      <x:c r="E146" s="72" t="str">
        <x:f>IFERROR(IF(VLOOKUP(D146,Giocatori!$A$4:$C$73,2,FALSE)&lt;&gt;"",VLOOKUP(D146,Giocatori!$A$4:$C$73,2,FALSE),"Giocatore "&amp;D146),"Giocatore "&amp;D146)</x:f>
        <x:v>Scognamiglio Alfredo</x:v>
      </x:c>
      <x:c r="F146" s="63" t="str"/>
      <x:c r="G146" s="63" t="str"/>
      <x:c r="H146" s="63" t="n">
        <x:v>0</x:v>
      </x:c>
      <x:c r="I146" s="72" t="str">
        <x:f>IF(OR(G146="",G146&lt;1,G146&gt;5),"",CHOOSE(G146,9,6,4,2,1)+2*IF(H146="",0,H146))</x:f>
      </x:c>
      <x:c r="J146" s="63" t="str"/>
    </x:row>
    <x:row r="147">
      <x:c r="A147" s="72" t="n">
        <x:v>3</x:v>
      </x:c>
      <x:c r="B147" s="72" t="str">
        <x:v>E</x:v>
      </x:c>
      <x:c r="C147" s="72" t="n">
        <x:v>3</x:v>
      </x:c>
      <x:c r="D147" s="72" t="n">
        <x:v>3</x:v>
      </x:c>
      <x:c r="E147" s="72" t="str">
        <x:f>IFERROR(IF(VLOOKUP(D147,Giocatori!$A$4:$C$73,2,FALSE)&lt;&gt;"",VLOOKUP(D147,Giocatori!$A$4:$C$73,2,FALSE),"Giocatore "&amp;D147),"Giocatore "&amp;D147)</x:f>
        <x:v>Sommese Antonio</x:v>
      </x:c>
      <x:c r="F147" s="63" t="str"/>
      <x:c r="G147" s="63" t="str"/>
      <x:c r="H147" s="63" t="n">
        <x:v>0</x:v>
      </x:c>
      <x:c r="I147" s="72" t="str">
        <x:f>IF(OR(G147="",G147&lt;1,G147&gt;5),"",CHOOSE(G147,9,6,4,2,1)+2*IF(H147="",0,H147))</x:f>
      </x:c>
      <x:c r="J147" s="63" t="str"/>
    </x:row>
    <x:row r="148">
      <x:c r="A148" s="72" t="n">
        <x:v>3</x:v>
      </x:c>
      <x:c r="B148" s="72" t="str">
        <x:v>E</x:v>
      </x:c>
      <x:c r="C148" s="72" t="n">
        <x:v>4</x:v>
      </x:c>
      <x:c r="D148" s="72" t="n">
        <x:v>54</x:v>
      </x:c>
      <x:c r="E148" s="72" t="str">
        <x:f>IFERROR(IF(VLOOKUP(D148,Giocatori!$A$4:$C$73,2,FALSE)&lt;&gt;"",VLOOKUP(D148,Giocatori!$A$4:$C$73,2,FALSE),"Giocatore "&amp;D148),"Giocatore "&amp;D148)</x:f>
        <x:v>Giugliano Domenico</x:v>
      </x:c>
      <x:c r="F148" s="63" t="str"/>
      <x:c r="G148" s="63" t="str"/>
      <x:c r="H148" s="63" t="n">
        <x:v>0</x:v>
      </x:c>
      <x:c r="I148" s="72" t="str">
        <x:f>IF(OR(G148="",G148&lt;1,G148&gt;5),"",CHOOSE(G148,9,6,4,2,1)+2*IF(H148="",0,H148))</x:f>
      </x:c>
      <x:c r="J148" s="63" t="str"/>
    </x:row>
    <x:row r="149">
      <x:c r="A149" s="72" t="n">
        <x:v>3</x:v>
      </x:c>
      <x:c r="B149" s="72" t="str">
        <x:v>E</x:v>
      </x:c>
      <x:c r="C149" s="72" t="n">
        <x:v>5</x:v>
      </x:c>
      <x:c r="D149" s="72" t="n">
        <x:v>45</x:v>
      </x:c>
      <x:c r="E149" s="72" t="str">
        <x:f>IFERROR(IF(VLOOKUP(D149,Giocatori!$A$4:$C$73,2,FALSE)&lt;&gt;"",VLOOKUP(D149,Giocatori!$A$4:$C$73,2,FALSE),"Giocatore "&amp;D149),"Giocatore "&amp;D149)</x:f>
        <x:v>Isernia Antonio</x:v>
      </x:c>
      <x:c r="F149" s="63" t="str"/>
      <x:c r="G149" s="63" t="str"/>
      <x:c r="H149" s="63" t="n">
        <x:v>0</x:v>
      </x:c>
      <x:c r="I149" s="72" t="str">
        <x:f>IF(OR(G149="",G149&lt;1,G149&gt;5),"",CHOOSE(G149,9,6,4,2,1)+2*IF(H149="",0,H149))</x:f>
      </x:c>
      <x:c r="J149" s="63" t="str"/>
    </x:row>
    <x:row r="150">
      <x:c r="A150" s="72" t="n">
        <x:v>3</x:v>
      </x:c>
      <x:c r="B150" s="72" t="str">
        <x:v>F</x:v>
      </x:c>
      <x:c r="C150" s="72" t="n">
        <x:v>1</x:v>
      </x:c>
      <x:c r="D150" s="72" t="n">
        <x:v>26</x:v>
      </x:c>
      <x:c r="E150" s="72" t="str">
        <x:f>IFERROR(IF(VLOOKUP(D150,Giocatori!$A$4:$C$73,2,FALSE)&lt;&gt;"",VLOOKUP(D150,Giocatori!$A$4:$C$73,2,FALSE),"Giocatore "&amp;D150),"Giocatore "&amp;D150)</x:f>
        <x:v>Gesso Marco</x:v>
      </x:c>
      <x:c r="F150" s="63" t="str"/>
      <x:c r="G150" s="63" t="str"/>
      <x:c r="H150" s="63" t="n">
        <x:v>0</x:v>
      </x:c>
      <x:c r="I150" s="72" t="str">
        <x:f>IF(OR(G150="",G150&lt;1,G150&gt;5),"",CHOOSE(G150,9,6,4,2,1)+2*IF(H150="",0,H150))</x:f>
      </x:c>
      <x:c r="J150" s="63" t="str"/>
    </x:row>
    <x:row r="151">
      <x:c r="A151" s="72" t="n">
        <x:v>3</x:v>
      </x:c>
      <x:c r="B151" s="72" t="str">
        <x:v>F</x:v>
      </x:c>
      <x:c r="C151" s="72" t="n">
        <x:v>2</x:v>
      </x:c>
      <x:c r="D151" s="72" t="n">
        <x:v>17</x:v>
      </x:c>
      <x:c r="E151" s="72" t="str">
        <x:f>IFERROR(IF(VLOOKUP(D151,Giocatori!$A$4:$C$73,2,FALSE)&lt;&gt;"",VLOOKUP(D151,Giocatori!$A$4:$C$73,2,FALSE),"Giocatore "&amp;D151),"Giocatore "&amp;D151)</x:f>
        <x:v>Tufano Giovanni</x:v>
      </x:c>
      <x:c r="F151" s="63" t="str"/>
      <x:c r="G151" s="63" t="str"/>
      <x:c r="H151" s="63" t="n">
        <x:v>0</x:v>
      </x:c>
      <x:c r="I151" s="72" t="str">
        <x:f>IF(OR(G151="",G151&lt;1,G151&gt;5),"",CHOOSE(G151,9,6,4,2,1)+2*IF(H151="",0,H151))</x:f>
      </x:c>
      <x:c r="J151" s="63" t="str"/>
    </x:row>
    <x:row r="152">
      <x:c r="A152" s="72" t="n">
        <x:v>3</x:v>
      </x:c>
      <x:c r="B152" s="72" t="str">
        <x:v>F</x:v>
      </x:c>
      <x:c r="C152" s="72" t="n">
        <x:v>3</x:v>
      </x:c>
      <x:c r="D152" s="72" t="n">
        <x:v>8</x:v>
      </x:c>
      <x:c r="E152" s="72" t="str">
        <x:f>IFERROR(IF(VLOOKUP(D152,Giocatori!$A$4:$C$73,2,FALSE)&lt;&gt;"",VLOOKUP(D152,Giocatori!$A$4:$C$73,2,FALSE),"Giocatore "&amp;D152),"Giocatore "&amp;D152)</x:f>
        <x:v>Ambrosino Raffaele</x:v>
      </x:c>
      <x:c r="F152" s="63" t="str"/>
      <x:c r="G152" s="63" t="str"/>
      <x:c r="H152" s="63" t="n">
        <x:v>0</x:v>
      </x:c>
      <x:c r="I152" s="72" t="str">
        <x:f>IF(OR(G152="",G152&lt;1,G152&gt;5),"",CHOOSE(G152,9,6,4,2,1)+2*IF(H152="",0,H152))</x:f>
      </x:c>
      <x:c r="J152" s="63" t="str"/>
    </x:row>
    <x:row r="153">
      <x:c r="A153" s="72" t="n">
        <x:v>3</x:v>
      </x:c>
      <x:c r="B153" s="72" t="str">
        <x:v>F</x:v>
      </x:c>
      <x:c r="C153" s="72" t="n">
        <x:v>4</x:v>
      </x:c>
      <x:c r="D153" s="72" t="n">
        <x:v>59</x:v>
      </x:c>
      <x:c r="E153" s="72" t="str">
        <x:f>IFERROR(IF(VLOOKUP(D153,Giocatori!$A$4:$C$73,2,FALSE)&lt;&gt;"",VLOOKUP(D153,Giocatori!$A$4:$C$73,2,FALSE),"Giocatore "&amp;D153),"Giocatore "&amp;D153)</x:f>
        <x:v>Angiero Anna</x:v>
      </x:c>
      <x:c r="F153" s="63" t="str"/>
      <x:c r="G153" s="63" t="str"/>
      <x:c r="H153" s="63" t="n">
        <x:v>0</x:v>
      </x:c>
      <x:c r="I153" s="72" t="str">
        <x:f>IF(OR(G153="",G153&lt;1,G153&gt;5),"",CHOOSE(G153,9,6,4,2,1)+2*IF(H153="",0,H153))</x:f>
      </x:c>
      <x:c r="J153" s="63" t="str"/>
    </x:row>
    <x:row r="154">
      <x:c r="A154" s="72" t="n">
        <x:v>3</x:v>
      </x:c>
      <x:c r="B154" s="72" t="str">
        <x:v>F</x:v>
      </x:c>
      <x:c r="C154" s="72" t="n">
        <x:v>5</x:v>
      </x:c>
      <x:c r="D154" s="72" t="n">
        <x:v>50</x:v>
      </x:c>
      <x:c r="E154" s="72" t="str">
        <x:f>IFERROR(IF(VLOOKUP(D154,Giocatori!$A$4:$C$73,2,FALSE)&lt;&gt;"",VLOOKUP(D154,Giocatori!$A$4:$C$73,2,FALSE),"Giocatore "&amp;D154),"Giocatore "&amp;D154)</x:f>
        <x:v>Bartolo</x:v>
      </x:c>
      <x:c r="F154" s="63" t="str"/>
      <x:c r="G154" s="63" t="str"/>
      <x:c r="H154" s="63" t="n">
        <x:v>0</x:v>
      </x:c>
      <x:c r="I154" s="72" t="str">
        <x:f>IF(OR(G154="",G154&lt;1,G154&gt;5),"",CHOOSE(G154,9,6,4,2,1)+2*IF(H154="",0,H154))</x:f>
      </x:c>
      <x:c r="J154" s="63" t="str"/>
    </x:row>
    <x:row r="155">
      <x:c r="A155" s="72" t="n">
        <x:v>3</x:v>
      </x:c>
      <x:c r="B155" s="72" t="str">
        <x:v>G</x:v>
      </x:c>
      <x:c r="C155" s="72" t="n">
        <x:v>1</x:v>
      </x:c>
      <x:c r="D155" s="72" t="n">
        <x:v>31</x:v>
      </x:c>
      <x:c r="E155" s="72" t="str">
        <x:f>IFERROR(IF(VLOOKUP(D155,Giocatori!$A$4:$C$73,2,FALSE)&lt;&gt;"",VLOOKUP(D155,Giocatori!$A$4:$C$73,2,FALSE),"Giocatore "&amp;D155),"Giocatore "&amp;D155)</x:f>
        <x:v>Polacco Tommaso</x:v>
      </x:c>
      <x:c r="F155" s="63" t="str"/>
      <x:c r="G155" s="63" t="str"/>
      <x:c r="H155" s="63" t="n">
        <x:v>0</x:v>
      </x:c>
      <x:c r="I155" s="72" t="str">
        <x:f>IF(OR(G155="",G155&lt;1,G155&gt;5),"",CHOOSE(G155,9,6,4,2,1)+2*IF(H155="",0,H155))</x:f>
      </x:c>
      <x:c r="J155" s="63" t="str"/>
    </x:row>
    <x:row r="156">
      <x:c r="A156" s="72" t="n">
        <x:v>3</x:v>
      </x:c>
      <x:c r="B156" s="72" t="str">
        <x:v>G</x:v>
      </x:c>
      <x:c r="C156" s="72" t="n">
        <x:v>2</x:v>
      </x:c>
      <x:c r="D156" s="72" t="n">
        <x:v>22</x:v>
      </x:c>
      <x:c r="E156" s="72" t="str">
        <x:f>IFERROR(IF(VLOOKUP(D156,Giocatori!$A$4:$C$73,2,FALSE)&lt;&gt;"",VLOOKUP(D156,Giocatori!$A$4:$C$73,2,FALSE),"Giocatore "&amp;D156),"Giocatore "&amp;D156)</x:f>
        <x:v>Napolitano Antonio</x:v>
      </x:c>
      <x:c r="F156" s="63" t="str"/>
      <x:c r="G156" s="63" t="str"/>
      <x:c r="H156" s="63" t="n">
        <x:v>0</x:v>
      </x:c>
      <x:c r="I156" s="72" t="str">
        <x:f>IF(OR(G156="",G156&lt;1,G156&gt;5),"",CHOOSE(G156,9,6,4,2,1)+2*IF(H156="",0,H156))</x:f>
      </x:c>
      <x:c r="J156" s="63" t="str"/>
    </x:row>
    <x:row r="157">
      <x:c r="A157" s="72" t="n">
        <x:v>3</x:v>
      </x:c>
      <x:c r="B157" s="72" t="str">
        <x:v>G</x:v>
      </x:c>
      <x:c r="C157" s="72" t="n">
        <x:v>3</x:v>
      </x:c>
      <x:c r="D157" s="72" t="n">
        <x:v>13</x:v>
      </x:c>
      <x:c r="E157" s="72" t="str">
        <x:f>IFERROR(IF(VLOOKUP(D157,Giocatori!$A$4:$C$73,2,FALSE)&lt;&gt;"",VLOOKUP(D157,Giocatori!$A$4:$C$73,2,FALSE),"Giocatore "&amp;D157),"Giocatore "&amp;D157)</x:f>
        <x:v>Del Vecchio Diego</x:v>
      </x:c>
      <x:c r="F157" s="63" t="str"/>
      <x:c r="G157" s="63" t="str"/>
      <x:c r="H157" s="63" t="n">
        <x:v>0</x:v>
      </x:c>
      <x:c r="I157" s="72" t="str">
        <x:f>IF(OR(G157="",G157&lt;1,G157&gt;5),"",CHOOSE(G157,9,6,4,2,1)+2*IF(H157="",0,H157))</x:f>
      </x:c>
      <x:c r="J157" s="63" t="str"/>
    </x:row>
    <x:row r="158">
      <x:c r="A158" s="72" t="n">
        <x:v>3</x:v>
      </x:c>
      <x:c r="B158" s="72" t="str">
        <x:v>G</x:v>
      </x:c>
      <x:c r="C158" s="72" t="n">
        <x:v>4</x:v>
      </x:c>
      <x:c r="D158" s="72" t="n">
        <x:v>4</x:v>
      </x:c>
      <x:c r="E158" s="72" t="str">
        <x:f>IFERROR(IF(VLOOKUP(D158,Giocatori!$A$4:$C$73,2,FALSE)&lt;&gt;"",VLOOKUP(D158,Giocatori!$A$4:$C$73,2,FALSE),"Giocatore "&amp;D158),"Giocatore "&amp;D158)</x:f>
        <x:v>Annunziata Raffaele</x:v>
      </x:c>
      <x:c r="F158" s="63" t="str"/>
      <x:c r="G158" s="63" t="str"/>
      <x:c r="H158" s="63" t="n">
        <x:v>0</x:v>
      </x:c>
      <x:c r="I158" s="72" t="str">
        <x:f>IF(OR(G158="",G158&lt;1,G158&gt;5),"",CHOOSE(G158,9,6,4,2,1)+2*IF(H158="",0,H158))</x:f>
      </x:c>
      <x:c r="J158" s="63" t="str"/>
    </x:row>
    <x:row r="159">
      <x:c r="A159" s="72" t="n">
        <x:v>3</x:v>
      </x:c>
      <x:c r="B159" s="72" t="str">
        <x:v>G</x:v>
      </x:c>
      <x:c r="C159" s="72" t="n">
        <x:v>5</x:v>
      </x:c>
      <x:c r="D159" s="72" t="n">
        <x:v>55</x:v>
      </x:c>
      <x:c r="E159" s="72" t="str">
        <x:f>IFERROR(IF(VLOOKUP(D159,Giocatori!$A$4:$C$73,2,FALSE)&lt;&gt;"",VLOOKUP(D159,Giocatori!$A$4:$C$73,2,FALSE),"Giocatore "&amp;D159),"Giocatore "&amp;D159)</x:f>
        <x:v>Montanera Raffaele</x:v>
      </x:c>
      <x:c r="F159" s="63" t="str"/>
      <x:c r="G159" s="63" t="str"/>
      <x:c r="H159" s="63" t="n">
        <x:v>0</x:v>
      </x:c>
      <x:c r="I159" s="72" t="str">
        <x:f>IF(OR(G159="",G159&lt;1,G159&gt;5),"",CHOOSE(G159,9,6,4,2,1)+2*IF(H159="",0,H159))</x:f>
      </x:c>
      <x:c r="J159" s="63" t="str"/>
    </x:row>
    <x:row r="160">
      <x:c r="A160" s="72" t="n">
        <x:v>3</x:v>
      </x:c>
      <x:c r="B160" s="72" t="str">
        <x:v>H</x:v>
      </x:c>
      <x:c r="C160" s="72" t="n">
        <x:v>1</x:v>
      </x:c>
      <x:c r="D160" s="72" t="n">
        <x:v>36</x:v>
      </x:c>
      <x:c r="E160" s="72" t="str">
        <x:f>IFERROR(IF(VLOOKUP(D160,Giocatori!$A$4:$C$73,2,FALSE)&lt;&gt;"",VLOOKUP(D160,Giocatori!$A$4:$C$73,2,FALSE),"Giocatore "&amp;D160),"Giocatore "&amp;D160)</x:f>
        <x:v>Moccia Biagio</x:v>
      </x:c>
      <x:c r="F160" s="63" t="str"/>
      <x:c r="G160" s="63" t="str"/>
      <x:c r="H160" s="63" t="n">
        <x:v>0</x:v>
      </x:c>
      <x:c r="I160" s="72" t="str">
        <x:f>IF(OR(G160="",G160&lt;1,G160&gt;5),"",CHOOSE(G160,9,6,4,2,1)+2*IF(H160="",0,H160))</x:f>
      </x:c>
      <x:c r="J160" s="63" t="str"/>
    </x:row>
    <x:row r="161">
      <x:c r="A161" s="72" t="n">
        <x:v>3</x:v>
      </x:c>
      <x:c r="B161" s="72" t="str">
        <x:v>H</x:v>
      </x:c>
      <x:c r="C161" s="72" t="n">
        <x:v>2</x:v>
      </x:c>
      <x:c r="D161" s="72" t="n">
        <x:v>27</x:v>
      </x:c>
      <x:c r="E161" s="72" t="str">
        <x:f>IFERROR(IF(VLOOKUP(D161,Giocatori!$A$4:$C$73,2,FALSE)&lt;&gt;"",VLOOKUP(D161,Giocatori!$A$4:$C$73,2,FALSE),"Giocatore "&amp;D161),"Giocatore "&amp;D161)</x:f>
        <x:v>Napolitano Angelo</x:v>
      </x:c>
      <x:c r="F161" s="63" t="str"/>
      <x:c r="G161" s="63" t="str"/>
      <x:c r="H161" s="63" t="n">
        <x:v>0</x:v>
      </x:c>
      <x:c r="I161" s="72" t="str">
        <x:f>IF(OR(G161="",G161&lt;1,G161&gt;5),"",CHOOSE(G161,9,6,4,2,1)+2*IF(H161="",0,H161))</x:f>
      </x:c>
      <x:c r="J161" s="63" t="str"/>
    </x:row>
    <x:row r="162">
      <x:c r="A162" s="72" t="n">
        <x:v>3</x:v>
      </x:c>
      <x:c r="B162" s="72" t="str">
        <x:v>H</x:v>
      </x:c>
      <x:c r="C162" s="72" t="n">
        <x:v>3</x:v>
      </x:c>
      <x:c r="D162" s="72" t="n">
        <x:v>18</x:v>
      </x:c>
      <x:c r="E162" s="72" t="str">
        <x:f>IFERROR(IF(VLOOKUP(D162,Giocatori!$A$4:$C$73,2,FALSE)&lt;&gt;"",VLOOKUP(D162,Giocatori!$A$4:$C$73,2,FALSE),"Giocatore "&amp;D162),"Giocatore "&amp;D162)</x:f>
        <x:v>Ambrosino Gabriele</x:v>
      </x:c>
      <x:c r="F162" s="63" t="str"/>
      <x:c r="G162" s="63" t="str"/>
      <x:c r="H162" s="63" t="n">
        <x:v>0</x:v>
      </x:c>
      <x:c r="I162" s="72" t="str">
        <x:f>IF(OR(G162="",G162&lt;1,G162&gt;5),"",CHOOSE(G162,9,6,4,2,1)+2*IF(H162="",0,H162))</x:f>
      </x:c>
      <x:c r="J162" s="63" t="str"/>
    </x:row>
    <x:row r="163">
      <x:c r="A163" s="72" t="n">
        <x:v>3</x:v>
      </x:c>
      <x:c r="B163" s="72" t="str">
        <x:v>H</x:v>
      </x:c>
      <x:c r="C163" s="72" t="n">
        <x:v>4</x:v>
      </x:c>
      <x:c r="D163" s="72" t="n">
        <x:v>9</x:v>
      </x:c>
      <x:c r="E163" s="72" t="str">
        <x:f>IFERROR(IF(VLOOKUP(D163,Giocatori!$A$4:$C$73,2,FALSE)&lt;&gt;"",VLOOKUP(D163,Giocatori!$A$4:$C$73,2,FALSE),"Giocatore "&amp;D163),"Giocatore "&amp;D163)</x:f>
        <x:v>Nappo Angelo</x:v>
      </x:c>
      <x:c r="F163" s="63" t="str"/>
      <x:c r="G163" s="63" t="str"/>
      <x:c r="H163" s="63" t="n">
        <x:v>0</x:v>
      </x:c>
      <x:c r="I163" s="72" t="str">
        <x:f>IF(OR(G163="",G163&lt;1,G163&gt;5),"",CHOOSE(G163,9,6,4,2,1)+2*IF(H163="",0,H163))</x:f>
      </x:c>
      <x:c r="J163" s="63" t="str"/>
    </x:row>
    <x:row r="164">
      <x:c r="A164" s="72" t="n">
        <x:v>3</x:v>
      </x:c>
      <x:c r="B164" s="72" t="str">
        <x:v>H</x:v>
      </x:c>
      <x:c r="C164" s="72" t="n">
        <x:v>5</x:v>
      </x:c>
      <x:c r="D164" s="72" t="n">
        <x:v>60</x:v>
      </x:c>
      <x:c r="E164" s="72" t="str">
        <x:f>IFERROR(IF(VLOOKUP(D164,Giocatori!$A$4:$C$73,2,FALSE)&lt;&gt;"",VLOOKUP(D164,Giocatori!$A$4:$C$73,2,FALSE),"Giocatore "&amp;D164),"Giocatore "&amp;D164)</x:f>
        <x:v>Di Grazia Salvatore</x:v>
      </x:c>
      <x:c r="F164" s="63" t="str"/>
      <x:c r="G164" s="63" t="str"/>
      <x:c r="H164" s="63" t="n">
        <x:v>0</x:v>
      </x:c>
      <x:c r="I164" s="72" t="str">
        <x:f>IF(OR(G164="",G164&lt;1,G164&gt;5),"",CHOOSE(G164,9,6,4,2,1)+2*IF(H164="",0,H164))</x:f>
      </x:c>
      <x:c r="J164" s="63" t="str"/>
    </x:row>
    <x:row r="165">
      <x:c r="A165" s="72" t="n">
        <x:v>3</x:v>
      </x:c>
      <x:c r="B165" s="72" t="str">
        <x:v>I</x:v>
      </x:c>
      <x:c r="C165" s="72" t="n">
        <x:v>1</x:v>
      </x:c>
      <x:c r="D165" s="72" t="n">
        <x:v>41</x:v>
      </x:c>
      <x:c r="E165" s="72" t="str">
        <x:f>IFERROR(IF(VLOOKUP(D165,Giocatori!$A$4:$C$73,2,FALSE)&lt;&gt;"",VLOOKUP(D165,Giocatori!$A$4:$C$73,2,FALSE),"Giocatore "&amp;D165),"Giocatore "&amp;D165)</x:f>
        <x:v>Nocerino Nunzio</x:v>
      </x:c>
      <x:c r="F165" s="63" t="str"/>
      <x:c r="G165" s="63" t="str"/>
      <x:c r="H165" s="63" t="n">
        <x:v>0</x:v>
      </x:c>
      <x:c r="I165" s="72" t="str">
        <x:f>IF(OR(G165="",G165&lt;1,G165&gt;5),"",CHOOSE(G165,9,6,4,2,1)+2*IF(H165="",0,H165))</x:f>
      </x:c>
      <x:c r="J165" s="63" t="str"/>
    </x:row>
    <x:row r="166">
      <x:c r="A166" s="72" t="n">
        <x:v>3</x:v>
      </x:c>
      <x:c r="B166" s="72" t="str">
        <x:v>I</x:v>
      </x:c>
      <x:c r="C166" s="72" t="n">
        <x:v>2</x:v>
      </x:c>
      <x:c r="D166" s="72" t="n">
        <x:v>32</x:v>
      </x:c>
      <x:c r="E166" s="72" t="str">
        <x:f>IFERROR(IF(VLOOKUP(D166,Giocatori!$A$4:$C$73,2,FALSE)&lt;&gt;"",VLOOKUP(D166,Giocatori!$A$4:$C$73,2,FALSE),"Giocatore "&amp;D166),"Giocatore "&amp;D166)</x:f>
        <x:v>Marotta Pasquale</x:v>
      </x:c>
      <x:c r="F166" s="63" t="str"/>
      <x:c r="G166" s="63" t="str"/>
      <x:c r="H166" s="63" t="n">
        <x:v>0</x:v>
      </x:c>
      <x:c r="I166" s="72" t="str">
        <x:f>IF(OR(G166="",G166&lt;1,G166&gt;5),"",CHOOSE(G166,9,6,4,2,1)+2*IF(H166="",0,H166))</x:f>
      </x:c>
      <x:c r="J166" s="63" t="str"/>
    </x:row>
    <x:row r="167">
      <x:c r="A167" s="72" t="n">
        <x:v>3</x:v>
      </x:c>
      <x:c r="B167" s="72" t="str">
        <x:v>I</x:v>
      </x:c>
      <x:c r="C167" s="72" t="n">
        <x:v>3</x:v>
      </x:c>
      <x:c r="D167" s="72" t="n">
        <x:v>23</x:v>
      </x:c>
      <x:c r="E167" s="72" t="str">
        <x:f>IFERROR(IF(VLOOKUP(D167,Giocatori!$A$4:$C$73,2,FALSE)&lt;&gt;"",VLOOKUP(D167,Giocatori!$A$4:$C$73,2,FALSE),"Giocatore "&amp;D167),"Giocatore "&amp;D167)</x:f>
        <x:v>Notaro Massimo</x:v>
      </x:c>
      <x:c r="F167" s="63" t="str"/>
      <x:c r="G167" s="63" t="str"/>
      <x:c r="H167" s="63" t="n">
        <x:v>0</x:v>
      </x:c>
      <x:c r="I167" s="72" t="str">
        <x:f>IF(OR(G167="",G167&lt;1,G167&gt;5),"",CHOOSE(G167,9,6,4,2,1)+2*IF(H167="",0,H167))</x:f>
      </x:c>
      <x:c r="J167" s="63" t="str"/>
    </x:row>
    <x:row r="168">
      <x:c r="A168" s="72" t="n">
        <x:v>3</x:v>
      </x:c>
      <x:c r="B168" s="72" t="str">
        <x:v>I</x:v>
      </x:c>
      <x:c r="C168" s="72" t="n">
        <x:v>4</x:v>
      </x:c>
      <x:c r="D168" s="72" t="n">
        <x:v>14</x:v>
      </x:c>
      <x:c r="E168" s="72" t="str">
        <x:f>IFERROR(IF(VLOOKUP(D168,Giocatori!$A$4:$C$73,2,FALSE)&lt;&gt;"",VLOOKUP(D168,Giocatori!$A$4:$C$73,2,FALSE),"Giocatore "&amp;D168),"Giocatore "&amp;D168)</x:f>
        <x:v>Beracci Lucio</x:v>
      </x:c>
      <x:c r="F168" s="63" t="str"/>
      <x:c r="G168" s="63" t="str"/>
      <x:c r="H168" s="63" t="n">
        <x:v>0</x:v>
      </x:c>
      <x:c r="I168" s="72" t="str">
        <x:f>IF(OR(G168="",G168&lt;1,G168&gt;5),"",CHOOSE(G168,9,6,4,2,1)+2*IF(H168="",0,H168))</x:f>
      </x:c>
      <x:c r="J168" s="63" t="str"/>
    </x:row>
    <x:row r="169">
      <x:c r="A169" s="72" t="n">
        <x:v>3</x:v>
      </x:c>
      <x:c r="B169" s="72" t="str">
        <x:v>I</x:v>
      </x:c>
      <x:c r="C169" s="72" t="n">
        <x:v>5</x:v>
      </x:c>
      <x:c r="D169" s="72" t="n">
        <x:v>5</x:v>
      </x:c>
      <x:c r="E169" s="72" t="str">
        <x:f>IFERROR(IF(VLOOKUP(D169,Giocatori!$A$4:$C$73,2,FALSE)&lt;&gt;"",VLOOKUP(D169,Giocatori!$A$4:$C$73,2,FALSE),"Giocatore "&amp;D169),"Giocatore "&amp;D169)</x:f>
        <x:v>La Marca Pasquale</x:v>
      </x:c>
      <x:c r="F169" s="63" t="str"/>
      <x:c r="G169" s="63" t="str"/>
      <x:c r="H169" s="63" t="n">
        <x:v>0</x:v>
      </x:c>
      <x:c r="I169" s="72" t="str">
        <x:f>IF(OR(G169="",G169&lt;1,G169&gt;5),"",CHOOSE(G169,9,6,4,2,1)+2*IF(H169="",0,H169))</x:f>
      </x:c>
      <x:c r="J169" s="63" t="str"/>
    </x:row>
    <x:row r="170">
      <x:c r="A170" s="72" t="n">
        <x:v>3</x:v>
      </x:c>
      <x:c r="B170" s="72" t="str">
        <x:v>J</x:v>
      </x:c>
      <x:c r="C170" s="72" t="n">
        <x:v>1</x:v>
      </x:c>
      <x:c r="D170" s="72" t="n">
        <x:v>46</x:v>
      </x:c>
      <x:c r="E170" s="72" t="str">
        <x:f>IFERROR(IF(VLOOKUP(D170,Giocatori!$A$4:$C$73,2,FALSE)&lt;&gt;"",VLOOKUP(D170,Giocatori!$A$4:$C$73,2,FALSE),"Giocatore "&amp;D170),"Giocatore "&amp;D170)</x:f>
        <x:v>Cafarelli Manolo</x:v>
      </x:c>
      <x:c r="F170" s="63" t="str"/>
      <x:c r="G170" s="63" t="str"/>
      <x:c r="H170" s="63" t="n">
        <x:v>0</x:v>
      </x:c>
      <x:c r="I170" s="72" t="str">
        <x:f>IF(OR(G170="",G170&lt;1,G170&gt;5),"",CHOOSE(G170,9,6,4,2,1)+2*IF(H170="",0,H170))</x:f>
      </x:c>
      <x:c r="J170" s="63" t="str"/>
    </x:row>
    <x:row r="171">
      <x:c r="A171" s="72" t="n">
        <x:v>3</x:v>
      </x:c>
      <x:c r="B171" s="72" t="str">
        <x:v>J</x:v>
      </x:c>
      <x:c r="C171" s="72" t="n">
        <x:v>2</x:v>
      </x:c>
      <x:c r="D171" s="72" t="n">
        <x:v>37</x:v>
      </x:c>
      <x:c r="E171" s="72" t="str">
        <x:f>IFERROR(IF(VLOOKUP(D171,Giocatori!$A$4:$C$73,2,FALSE)&lt;&gt;"",VLOOKUP(D171,Giocatori!$A$4:$C$73,2,FALSE),"Giocatore "&amp;D171),"Giocatore "&amp;D171)</x:f>
        <x:v>Spallone Carmine</x:v>
      </x:c>
      <x:c r="F171" s="63" t="str"/>
      <x:c r="G171" s="63" t="str"/>
      <x:c r="H171" s="63" t="n">
        <x:v>0</x:v>
      </x:c>
      <x:c r="I171" s="72" t="str">
        <x:f>IF(OR(G171="",G171&lt;1,G171&gt;5),"",CHOOSE(G171,9,6,4,2,1)+2*IF(H171="",0,H171))</x:f>
      </x:c>
      <x:c r="J171" s="63" t="str"/>
    </x:row>
    <x:row r="172">
      <x:c r="A172" s="72" t="n">
        <x:v>3</x:v>
      </x:c>
      <x:c r="B172" s="72" t="str">
        <x:v>J</x:v>
      </x:c>
      <x:c r="C172" s="72" t="n">
        <x:v>3</x:v>
      </x:c>
      <x:c r="D172" s="72" t="n">
        <x:v>28</x:v>
      </x:c>
      <x:c r="E172" s="72" t="str">
        <x:f>IFERROR(IF(VLOOKUP(D172,Giocatori!$A$4:$C$73,2,FALSE)&lt;&gt;"",VLOOKUP(D172,Giocatori!$A$4:$C$73,2,FALSE),"Giocatore "&amp;D172),"Giocatore "&amp;D172)</x:f>
        <x:v>Fontanella Carmine</x:v>
      </x:c>
      <x:c r="F172" s="63" t="str"/>
      <x:c r="G172" s="63" t="str"/>
      <x:c r="H172" s="63" t="n">
        <x:v>0</x:v>
      </x:c>
      <x:c r="I172" s="72" t="str">
        <x:f>IF(OR(G172="",G172&lt;1,G172&gt;5),"",CHOOSE(G172,9,6,4,2,1)+2*IF(H172="",0,H172))</x:f>
      </x:c>
      <x:c r="J172" s="63" t="str"/>
    </x:row>
    <x:row r="173">
      <x:c r="A173" s="72" t="n">
        <x:v>3</x:v>
      </x:c>
      <x:c r="B173" s="72" t="str">
        <x:v>J</x:v>
      </x:c>
      <x:c r="C173" s="72" t="n">
        <x:v>4</x:v>
      </x:c>
      <x:c r="D173" s="72" t="n">
        <x:v>19</x:v>
      </x:c>
      <x:c r="E173" s="72" t="str">
        <x:f>IFERROR(IF(VLOOKUP(D173,Giocatori!$A$4:$C$73,2,FALSE)&lt;&gt;"",VLOOKUP(D173,Giocatori!$A$4:$C$73,2,FALSE),"Giocatore "&amp;D173),"Giocatore "&amp;D173)</x:f>
        <x:v>Strocchia Franco</x:v>
      </x:c>
      <x:c r="F173" s="63" t="str"/>
      <x:c r="G173" s="63" t="str"/>
      <x:c r="H173" s="63" t="n">
        <x:v>0</x:v>
      </x:c>
      <x:c r="I173" s="72" t="str">
        <x:f>IF(OR(G173="",G173&lt;1,G173&gt;5),"",CHOOSE(G173,9,6,4,2,1)+2*IF(H173="",0,H173))</x:f>
      </x:c>
      <x:c r="J173" s="63" t="str"/>
    </x:row>
    <x:row r="174">
      <x:c r="A174" s="72" t="n">
        <x:v>3</x:v>
      </x:c>
      <x:c r="B174" s="72" t="str">
        <x:v>J</x:v>
      </x:c>
      <x:c r="C174" s="72" t="n">
        <x:v>5</x:v>
      </x:c>
      <x:c r="D174" s="72" t="n">
        <x:v>10</x:v>
      </x:c>
      <x:c r="E174" s="72" t="str">
        <x:f>IFERROR(IF(VLOOKUP(D174,Giocatori!$A$4:$C$73,2,FALSE)&lt;&gt;"",VLOOKUP(D174,Giocatori!$A$4:$C$73,2,FALSE),"Giocatore "&amp;D174),"Giocatore "&amp;D174)</x:f>
        <x:v>Cavallaro Erasmo</x:v>
      </x:c>
      <x:c r="F174" s="63" t="str"/>
      <x:c r="G174" s="63" t="str"/>
      <x:c r="H174" s="63" t="n">
        <x:v>0</x:v>
      </x:c>
      <x:c r="I174" s="72" t="str">
        <x:f>IF(OR(G174="",G174&lt;1,G174&gt;5),"",CHOOSE(G174,9,6,4,2,1)+2*IF(H174="",0,H174))</x:f>
      </x:c>
      <x:c r="J174" s="63" t="str"/>
    </x:row>
    <x:row r="175">
      <x:c r="A175" s="72" t="n">
        <x:v>3</x:v>
      </x:c>
      <x:c r="B175" s="72" t="str">
        <x:v>K</x:v>
      </x:c>
      <x:c r="C175" s="72" t="n">
        <x:v>1</x:v>
      </x:c>
      <x:c r="D175" s="72" t="n">
        <x:v>51</x:v>
      </x:c>
      <x:c r="E175" s="72" t="str">
        <x:f>IFERROR(IF(VLOOKUP(D175,Giocatori!$A$4:$C$73,2,FALSE)&lt;&gt;"",VLOOKUP(D175,Giocatori!$A$4:$C$73,2,FALSE),"Giocatore "&amp;D175),"Giocatore "&amp;D175)</x:f>
        <x:v>Domenico</x:v>
      </x:c>
      <x:c r="F175" s="63" t="str"/>
      <x:c r="G175" s="63" t="str"/>
      <x:c r="H175" s="63" t="n">
        <x:v>0</x:v>
      </x:c>
      <x:c r="I175" s="72" t="str">
        <x:f>IF(OR(G175="",G175&lt;1,G175&gt;5),"",CHOOSE(G175,9,6,4,2,1)+2*IF(H175="",0,H175))</x:f>
      </x:c>
      <x:c r="J175" s="63" t="str"/>
    </x:row>
    <x:row r="176">
      <x:c r="A176" s="72" t="n">
        <x:v>3</x:v>
      </x:c>
      <x:c r="B176" s="72" t="str">
        <x:v>K</x:v>
      </x:c>
      <x:c r="C176" s="72" t="n">
        <x:v>2</x:v>
      </x:c>
      <x:c r="D176" s="72" t="n">
        <x:v>42</x:v>
      </x:c>
      <x:c r="E176" s="72" t="str">
        <x:f>IFERROR(IF(VLOOKUP(D176,Giocatori!$A$4:$C$73,2,FALSE)&lt;&gt;"",VLOOKUP(D176,Giocatori!$A$4:$C$73,2,FALSE),"Giocatore "&amp;D176),"Giocatore "&amp;D176)</x:f>
        <x:v>Guerriero Giuseppe</x:v>
      </x:c>
      <x:c r="F176" s="63" t="str"/>
      <x:c r="G176" s="63" t="str"/>
      <x:c r="H176" s="63" t="n">
        <x:v>0</x:v>
      </x:c>
      <x:c r="I176" s="72" t="str">
        <x:f>IF(OR(G176="",G176&lt;1,G176&gt;5),"",CHOOSE(G176,9,6,4,2,1)+2*IF(H176="",0,H176))</x:f>
      </x:c>
      <x:c r="J176" s="63" t="str"/>
    </x:row>
    <x:row r="177">
      <x:c r="A177" s="72" t="n">
        <x:v>3</x:v>
      </x:c>
      <x:c r="B177" s="72" t="str">
        <x:v>K</x:v>
      </x:c>
      <x:c r="C177" s="72" t="n">
        <x:v>3</x:v>
      </x:c>
      <x:c r="D177" s="72" t="n">
        <x:v>33</x:v>
      </x:c>
      <x:c r="E177" s="72" t="str">
        <x:f>IFERROR(IF(VLOOKUP(D177,Giocatori!$A$4:$C$73,2,FALSE)&lt;&gt;"",VLOOKUP(D177,Giocatori!$A$4:$C$73,2,FALSE),"Giocatore "&amp;D177),"Giocatore "&amp;D177)</x:f>
        <x:v>Franzese Francesco</x:v>
      </x:c>
      <x:c r="F177" s="63" t="str"/>
      <x:c r="G177" s="63" t="str"/>
      <x:c r="H177" s="63" t="n">
        <x:v>0</x:v>
      </x:c>
      <x:c r="I177" s="72" t="str">
        <x:f>IF(OR(G177="",G177&lt;1,G177&gt;5),"",CHOOSE(G177,9,6,4,2,1)+2*IF(H177="",0,H177))</x:f>
      </x:c>
      <x:c r="J177" s="63" t="str"/>
    </x:row>
    <x:row r="178">
      <x:c r="A178" s="72" t="n">
        <x:v>3</x:v>
      </x:c>
      <x:c r="B178" s="72" t="str">
        <x:v>K</x:v>
      </x:c>
      <x:c r="C178" s="72" t="n">
        <x:v>4</x:v>
      </x:c>
      <x:c r="D178" s="72" t="n">
        <x:v>24</x:v>
      </x:c>
      <x:c r="E178" s="72" t="str">
        <x:f>IFERROR(IF(VLOOKUP(D178,Giocatori!$A$4:$C$73,2,FALSE)&lt;&gt;"",VLOOKUP(D178,Giocatori!$A$4:$C$73,2,FALSE),"Giocatore "&amp;D178),"Giocatore "&amp;D178)</x:f>
        <x:v>Pierro Giuseppe</x:v>
      </x:c>
      <x:c r="F178" s="63" t="str"/>
      <x:c r="G178" s="63" t="str"/>
      <x:c r="H178" s="63" t="n">
        <x:v>0</x:v>
      </x:c>
      <x:c r="I178" s="72" t="str">
        <x:f>IF(OR(G178="",G178&lt;1,G178&gt;5),"",CHOOSE(G178,9,6,4,2,1)+2*IF(H178="",0,H178))</x:f>
      </x:c>
      <x:c r="J178" s="63" t="str"/>
    </x:row>
    <x:row r="179">
      <x:c r="A179" s="72" t="n">
        <x:v>3</x:v>
      </x:c>
      <x:c r="B179" s="72" t="str">
        <x:v>K</x:v>
      </x:c>
      <x:c r="C179" s="72" t="n">
        <x:v>5</x:v>
      </x:c>
      <x:c r="D179" s="72" t="n">
        <x:v>15</x:v>
      </x:c>
      <x:c r="E179" s="72" t="str">
        <x:f>IFERROR(IF(VLOOKUP(D179,Giocatori!$A$4:$C$73,2,FALSE)&lt;&gt;"",VLOOKUP(D179,Giocatori!$A$4:$C$73,2,FALSE),"Giocatore "&amp;D179),"Giocatore "&amp;D179)</x:f>
        <x:v>De Falco Andrea</x:v>
      </x:c>
      <x:c r="F179" s="63" t="str"/>
      <x:c r="G179" s="63" t="str"/>
      <x:c r="H179" s="63" t="n">
        <x:v>0</x:v>
      </x:c>
      <x:c r="I179" s="72" t="str">
        <x:f>IF(OR(G179="",G179&lt;1,G179&gt;5),"",CHOOSE(G179,9,6,4,2,1)+2*IF(H179="",0,H179))</x:f>
      </x:c>
      <x:c r="J179" s="63" t="str"/>
    </x:row>
    <x:row r="180">
      <x:c r="A180" s="72" t="n">
        <x:v>3</x:v>
      </x:c>
      <x:c r="B180" s="72" t="str">
        <x:v>L</x:v>
      </x:c>
      <x:c r="C180" s="72" t="n">
        <x:v>1</x:v>
      </x:c>
      <x:c r="D180" s="72" t="n">
        <x:v>56</x:v>
      </x:c>
      <x:c r="E180" s="72" t="str">
        <x:f>IFERROR(IF(VLOOKUP(D180,Giocatori!$A$4:$C$73,2,FALSE)&lt;&gt;"",VLOOKUP(D180,Giocatori!$A$4:$C$73,2,FALSE),"Giocatore "&amp;D180),"Giocatore "&amp;D180)</x:f>
        <x:v>Oreste</x:v>
      </x:c>
      <x:c r="F180" s="63" t="str"/>
      <x:c r="G180" s="63" t="str"/>
      <x:c r="H180" s="63" t="n">
        <x:v>0</x:v>
      </x:c>
      <x:c r="I180" s="72" t="str">
        <x:f>IF(OR(G180="",G180&lt;1,G180&gt;5),"",CHOOSE(G180,9,6,4,2,1)+2*IF(H180="",0,H180))</x:f>
      </x:c>
      <x:c r="J180" s="63" t="str"/>
    </x:row>
    <x:row r="181">
      <x:c r="A181" s="72" t="n">
        <x:v>3</x:v>
      </x:c>
      <x:c r="B181" s="72" t="str">
        <x:v>L</x:v>
      </x:c>
      <x:c r="C181" s="72" t="n">
        <x:v>2</x:v>
      </x:c>
      <x:c r="D181" s="72" t="n">
        <x:v>47</x:v>
      </x:c>
      <x:c r="E181" s="72" t="str">
        <x:f>IFERROR(IF(VLOOKUP(D181,Giocatori!$A$4:$C$73,2,FALSE)&lt;&gt;"",VLOOKUP(D181,Giocatori!$A$4:$C$73,2,FALSE),"Giocatore "&amp;D181),"Giocatore "&amp;D181)</x:f>
        <x:v>Casoria Felice</x:v>
      </x:c>
      <x:c r="F181" s="63" t="str"/>
      <x:c r="G181" s="63" t="str"/>
      <x:c r="H181" s="63" t="n">
        <x:v>0</x:v>
      </x:c>
      <x:c r="I181" s="72" t="str">
        <x:f>IF(OR(G181="",G181&lt;1,G181&gt;5),"",CHOOSE(G181,9,6,4,2,1)+2*IF(H181="",0,H181))</x:f>
      </x:c>
      <x:c r="J181" s="63" t="str"/>
    </x:row>
    <x:row r="182">
      <x:c r="A182" s="72" t="n">
        <x:v>3</x:v>
      </x:c>
      <x:c r="B182" s="72" t="str">
        <x:v>L</x:v>
      </x:c>
      <x:c r="C182" s="72" t="n">
        <x:v>3</x:v>
      </x:c>
      <x:c r="D182" s="72" t="n">
        <x:v>38</x:v>
      </x:c>
      <x:c r="E182" s="72" t="str">
        <x:f>IFERROR(IF(VLOOKUP(D182,Giocatori!$A$4:$C$73,2,FALSE)&lt;&gt;"",VLOOKUP(D182,Giocatori!$A$4:$C$73,2,FALSE),"Giocatore "&amp;D182),"Giocatore "&amp;D182)</x:f>
        <x:v>Mauro Nicola</x:v>
      </x:c>
      <x:c r="F182" s="63" t="str"/>
      <x:c r="G182" s="63" t="str"/>
      <x:c r="H182" s="63" t="n">
        <x:v>0</x:v>
      </x:c>
      <x:c r="I182" s="72" t="str">
        <x:f>IF(OR(G182="",G182&lt;1,G182&gt;5),"",CHOOSE(G182,9,6,4,2,1)+2*IF(H182="",0,H182))</x:f>
      </x:c>
      <x:c r="J182" s="63" t="str"/>
    </x:row>
    <x:row r="183">
      <x:c r="A183" s="72" t="n">
        <x:v>3</x:v>
      </x:c>
      <x:c r="B183" s="72" t="str">
        <x:v>L</x:v>
      </x:c>
      <x:c r="C183" s="72" t="n">
        <x:v>4</x:v>
      </x:c>
      <x:c r="D183" s="72" t="n">
        <x:v>29</x:v>
      </x:c>
      <x:c r="E183" s="72" t="str">
        <x:f>IFERROR(IF(VLOOKUP(D183,Giocatori!$A$4:$C$73,2,FALSE)&lt;&gt;"",VLOOKUP(D183,Giocatori!$A$4:$C$73,2,FALSE),"Giocatore "&amp;D183),"Giocatore "&amp;D183)</x:f>
        <x:v>Nappi Nestore</x:v>
      </x:c>
      <x:c r="F183" s="63" t="str"/>
      <x:c r="G183" s="63" t="str"/>
      <x:c r="H183" s="63" t="n">
        <x:v>0</x:v>
      </x:c>
      <x:c r="I183" s="72" t="str">
        <x:f>IF(OR(G183="",G183&lt;1,G183&gt;5),"",CHOOSE(G183,9,6,4,2,1)+2*IF(H183="",0,H183))</x:f>
      </x:c>
      <x:c r="J183" s="63" t="str"/>
    </x:row>
    <x:row r="184">
      <x:c r="A184" s="72" t="n">
        <x:v>3</x:v>
      </x:c>
      <x:c r="B184" s="72" t="str">
        <x:v>L</x:v>
      </x:c>
      <x:c r="C184" s="72" t="n">
        <x:v>5</x:v>
      </x:c>
      <x:c r="D184" s="72" t="n">
        <x:v>20</x:v>
      </x:c>
      <x:c r="E184" s="72" t="str">
        <x:f>IFERROR(IF(VLOOKUP(D184,Giocatori!$A$4:$C$73,2,FALSE)&lt;&gt;"",VLOOKUP(D184,Giocatori!$A$4:$C$73,2,FALSE),"Giocatore "&amp;D184),"Giocatore "&amp;D184)</x:f>
        <x:v>Morelli Carmine</x:v>
      </x:c>
      <x:c r="F184" s="63" t="str"/>
      <x:c r="G184" s="63" t="str"/>
      <x:c r="H184" s="63" t="n">
        <x:v>0</x:v>
      </x:c>
      <x:c r="I184" s="72" t="str">
        <x:f>IF(OR(G184="",G184&lt;1,G184&gt;5),"",CHOOSE(G184,9,6,4,2,1)+2*IF(H184="",0,H184))</x:f>
      </x:c>
      <x:c r="J184" s="63" t="str"/>
    </x:row>
  </x:sheetData>
  <x:mergeCells>
    <x:mergeCell ref="A1:J1"/>
    <x:mergeCell ref="A2:J2"/>
  </x:mergeCells>
  <x:dataValidations count="3">
    <x:dataValidation type="list" sqref="G5:G184">
      <x:formula1>"1,2,3,4,5"</x:formula1>
    </x:dataValidation>
    <x:dataValidation operator="greaterThanOrEqual" sqref="H5:H184">
      <x:formula1>0</x:formula1>
    </x:dataValidation>
    <x:dataValidation operator="between" sqref="F5:F184">
      <x:formula1>0</x:formula1>
      <x:formula2>200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4c0c82bc78184c4f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10" hidden="0" customWidth="1"/>
    <x:col min="3" max="3" width="9" hidden="0" customWidth="1"/>
    <x:col min="4" max="4" width="14" hidden="0" customWidth="1"/>
    <x:col min="5" max="5" width="28" hidden="0" customWidth="1"/>
    <x:col min="6" max="6" width="16" hidden="0" customWidth="1"/>
    <x:col min="7" max="7" width="13" hidden="0" customWidth="1"/>
    <x:col min="8" max="8" width="10" hidden="0" customWidth="1"/>
    <x:col min="9" max="9" width="17" hidden="0" customWidth="1"/>
    <x:col min="10" max="10" width="30" hidden="0" customWidth="1"/>
  </x:cols>
  <x:sheetData>
    <x:row r="1" ht="30" customHeight="1">
      <x:c r="A1" s="51" t="str">
        <x:v>RISULTATI - 65 GIOCATORI</x:v>
      </x:c>
      <x:c r="B1" s="51"/>
      <x:c r="C1" s="51"/>
      <x:c r="D1" s="51"/>
      <x:c r="E1" s="51"/>
      <x:c r="F1" s="51"/>
      <x:c r="G1" s="51"/>
      <x:c r="H1" s="51"/>
      <x:c r="I1" s="51"/>
      <x:c r="J1" s="51"/>
    </x:row>
    <x:row r="2">
      <x:c r="A2" s="74" t="str">
        <x:v>Compilare esclusivamente le celle gialle. Posizione: 1 = migliore al tavolo, 5 = peggiore.</x:v>
      </x:c>
      <x:c r="B2" s="74"/>
      <x:c r="C2" s="74"/>
      <x:c r="D2" s="74"/>
      <x:c r="E2" s="74"/>
      <x:c r="F2" s="74"/>
      <x:c r="G2" s="74"/>
      <x:c r="H2" s="74"/>
      <x:c r="I2" s="74"/>
      <x:c r="J2" s="74"/>
    </x:row>
    <x:row r="4">
      <x:c r="A4" s="62" t="str">
        <x:v>Turno</x:v>
      </x:c>
      <x:c r="B4" s="62" t="str">
        <x:v>Tavolo</x:v>
      </x:c>
      <x:c r="C4" s="62" t="str">
        <x:v>Sedia</x:v>
      </x:c>
      <x:c r="D4" s="62" t="str">
        <x:v>Giocatore ID</x:v>
      </x:c>
      <x:c r="E4" s="62" t="str">
        <x:v>Nome</x:v>
      </x:c>
      <x:c r="F4" s="62" t="str">
        <x:v>Punti partita</x:v>
      </x:c>
      <x:c r="G4" s="62" t="str">
        <x:v>Posizione</x:v>
      </x:c>
      <x:c r="H4" s="62" t="str">
        <x:v>Sóle</x:v>
      </x:c>
      <x:c r="I4" s="62" t="str">
        <x:v>Punti classifica</x:v>
      </x:c>
      <x:c r="J4" s="62" t="str">
        <x:v>Note</x:v>
      </x:c>
    </x:row>
    <x:row r="5">
      <x:c r="A5" s="72" t="n">
        <x:v>1</x:v>
      </x:c>
      <x:c r="B5" s="72" t="str">
        <x:v>A</x:v>
      </x:c>
      <x:c r="C5" s="72" t="n">
        <x:v>1</x:v>
      </x:c>
      <x:c r="D5" s="72" t="n">
        <x:v>1</x:v>
      </x:c>
      <x:c r="E5" s="72" t="str">
        <x:f>IFERROR(IF(VLOOKUP(D5,Giocatori!$A$4:$C$73,2,FALSE)&lt;&gt;"",VLOOKUP(D5,Giocatori!$A$4:$C$73,2,FALSE),"Giocatore "&amp;D5),"Giocatore "&amp;D5)</x:f>
        <x:v>Annunziata Michele</x:v>
      </x:c>
      <x:c r="F5" s="63" t="str"/>
      <x:c r="G5" s="63" t="str"/>
      <x:c r="H5" s="63" t="n">
        <x:v>0</x:v>
      </x:c>
      <x:c r="I5" s="72" t="str">
        <x:f>IF(OR(G5="",G5&lt;1,G5&gt;5),"",CHOOSE(G5,9,6,4,2,1)+2*IF(H5="",0,H5))</x:f>
      </x:c>
      <x:c r="J5" s="63" t="str"/>
    </x:row>
    <x:row r="6">
      <x:c r="A6" s="72" t="n">
        <x:v>1</x:v>
      </x:c>
      <x:c r="B6" s="72" t="str">
        <x:v>A</x:v>
      </x:c>
      <x:c r="C6" s="72" t="n">
        <x:v>2</x:v>
      </x:c>
      <x:c r="D6" s="72" t="n">
        <x:v>2</x:v>
      </x:c>
      <x:c r="E6" s="72" t="str">
        <x:f>IFERROR(IF(VLOOKUP(D6,Giocatori!$A$4:$C$73,2,FALSE)&lt;&gt;"",VLOOKUP(D6,Giocatori!$A$4:$C$73,2,FALSE),"Giocatore "&amp;D6),"Giocatore "&amp;D6)</x:f>
        <x:v>La Marca Carlo</x:v>
      </x:c>
      <x:c r="F6" s="63" t="str"/>
      <x:c r="G6" s="63" t="str"/>
      <x:c r="H6" s="63" t="n">
        <x:v>0</x:v>
      </x:c>
      <x:c r="I6" s="72" t="str">
        <x:f>IF(OR(G6="",G6&lt;1,G6&gt;5),"",CHOOSE(G6,9,6,4,2,1)+2*IF(H6="",0,H6))</x:f>
      </x:c>
      <x:c r="J6" s="63" t="str"/>
    </x:row>
    <x:row r="7">
      <x:c r="A7" s="72" t="n">
        <x:v>1</x:v>
      </x:c>
      <x:c r="B7" s="72" t="str">
        <x:v>A</x:v>
      </x:c>
      <x:c r="C7" s="72" t="n">
        <x:v>3</x:v>
      </x:c>
      <x:c r="D7" s="72" t="n">
        <x:v>3</x:v>
      </x:c>
      <x:c r="E7" s="72" t="str">
        <x:f>IFERROR(IF(VLOOKUP(D7,Giocatori!$A$4:$C$73,2,FALSE)&lt;&gt;"",VLOOKUP(D7,Giocatori!$A$4:$C$73,2,FALSE),"Giocatore "&amp;D7),"Giocatore "&amp;D7)</x:f>
        <x:v>Sommese Antonio</x:v>
      </x:c>
      <x:c r="F7" s="63" t="str"/>
      <x:c r="G7" s="63" t="str"/>
      <x:c r="H7" s="63" t="n">
        <x:v>0</x:v>
      </x:c>
      <x:c r="I7" s="72" t="str">
        <x:f>IF(OR(G7="",G7&lt;1,G7&gt;5),"",CHOOSE(G7,9,6,4,2,1)+2*IF(H7="",0,H7))</x:f>
      </x:c>
      <x:c r="J7" s="63" t="str"/>
    </x:row>
    <x:row r="8">
      <x:c r="A8" s="72" t="n">
        <x:v>1</x:v>
      </x:c>
      <x:c r="B8" s="72" t="str">
        <x:v>A</x:v>
      </x:c>
      <x:c r="C8" s="72" t="n">
        <x:v>4</x:v>
      </x:c>
      <x:c r="D8" s="72" t="n">
        <x:v>4</x:v>
      </x:c>
      <x:c r="E8" s="72" t="str">
        <x:f>IFERROR(IF(VLOOKUP(D8,Giocatori!$A$4:$C$73,2,FALSE)&lt;&gt;"",VLOOKUP(D8,Giocatori!$A$4:$C$73,2,FALSE),"Giocatore "&amp;D8),"Giocatore "&amp;D8)</x:f>
        <x:v>Annunziata Raffaele</x:v>
      </x:c>
      <x:c r="F8" s="63" t="str"/>
      <x:c r="G8" s="63" t="str"/>
      <x:c r="H8" s="63" t="n">
        <x:v>0</x:v>
      </x:c>
      <x:c r="I8" s="72" t="str">
        <x:f>IF(OR(G8="",G8&lt;1,G8&gt;5),"",CHOOSE(G8,9,6,4,2,1)+2*IF(H8="",0,H8))</x:f>
      </x:c>
      <x:c r="J8" s="63" t="str"/>
    </x:row>
    <x:row r="9">
      <x:c r="A9" s="72" t="n">
        <x:v>1</x:v>
      </x:c>
      <x:c r="B9" s="72" t="str">
        <x:v>A</x:v>
      </x:c>
      <x:c r="C9" s="72" t="n">
        <x:v>5</x:v>
      </x:c>
      <x:c r="D9" s="72" t="n">
        <x:v>5</x:v>
      </x:c>
      <x:c r="E9" s="72" t="str">
        <x:f>IFERROR(IF(VLOOKUP(D9,Giocatori!$A$4:$C$73,2,FALSE)&lt;&gt;"",VLOOKUP(D9,Giocatori!$A$4:$C$73,2,FALSE),"Giocatore "&amp;D9),"Giocatore "&amp;D9)</x:f>
        <x:v>La Marca Pasquale</x:v>
      </x:c>
      <x:c r="F9" s="63" t="str"/>
      <x:c r="G9" s="63" t="str"/>
      <x:c r="H9" s="63" t="n">
        <x:v>0</x:v>
      </x:c>
      <x:c r="I9" s="72" t="str">
        <x:f>IF(OR(G9="",G9&lt;1,G9&gt;5),"",CHOOSE(G9,9,6,4,2,1)+2*IF(H9="",0,H9))</x:f>
      </x:c>
      <x:c r="J9" s="63" t="str"/>
    </x:row>
    <x:row r="10">
      <x:c r="A10" s="72" t="n">
        <x:v>1</x:v>
      </x:c>
      <x:c r="B10" s="72" t="str">
        <x:v>B</x:v>
      </x:c>
      <x:c r="C10" s="72" t="n">
        <x:v>1</x:v>
      </x:c>
      <x:c r="D10" s="72" t="n">
        <x:v>6</x:v>
      </x:c>
      <x:c r="E10" s="72" t="str">
        <x:f>IFERROR(IF(VLOOKUP(D10,Giocatori!$A$4:$C$73,2,FALSE)&lt;&gt;"",VLOOKUP(D10,Giocatori!$A$4:$C$73,2,FALSE),"Giocatore "&amp;D10),"Giocatore "&amp;D10)</x:f>
        <x:v>Panico Pasquale</x:v>
      </x:c>
      <x:c r="F10" s="63" t="str"/>
      <x:c r="G10" s="63" t="str"/>
      <x:c r="H10" s="63" t="n">
        <x:v>0</x:v>
      </x:c>
      <x:c r="I10" s="72" t="str">
        <x:f>IF(OR(G10="",G10&lt;1,G10&gt;5),"",CHOOSE(G10,9,6,4,2,1)+2*IF(H10="",0,H10))</x:f>
      </x:c>
      <x:c r="J10" s="63" t="str"/>
    </x:row>
    <x:row r="11">
      <x:c r="A11" s="72" t="n">
        <x:v>1</x:v>
      </x:c>
      <x:c r="B11" s="72" t="str">
        <x:v>B</x:v>
      </x:c>
      <x:c r="C11" s="72" t="n">
        <x:v>2</x:v>
      </x:c>
      <x:c r="D11" s="72" t="n">
        <x:v>7</x:v>
      </x:c>
      <x:c r="E11" s="72" t="str">
        <x:f>IFERROR(IF(VLOOKUP(D11,Giocatori!$A$4:$C$73,2,FALSE)&lt;&gt;"",VLOOKUP(D11,Giocatori!$A$4:$C$73,2,FALSE),"Giocatore "&amp;D11),"Giocatore "&amp;D11)</x:f>
        <x:v>Ambrosino Michele</x:v>
      </x:c>
      <x:c r="F11" s="63" t="str"/>
      <x:c r="G11" s="63" t="str"/>
      <x:c r="H11" s="63" t="n">
        <x:v>0</x:v>
      </x:c>
      <x:c r="I11" s="72" t="str">
        <x:f>IF(OR(G11="",G11&lt;1,G11&gt;5),"",CHOOSE(G11,9,6,4,2,1)+2*IF(H11="",0,H11))</x:f>
      </x:c>
      <x:c r="J11" s="63" t="str"/>
    </x:row>
    <x:row r="12">
      <x:c r="A12" s="72" t="n">
        <x:v>1</x:v>
      </x:c>
      <x:c r="B12" s="72" t="str">
        <x:v>B</x:v>
      </x:c>
      <x:c r="C12" s="72" t="n">
        <x:v>3</x:v>
      </x:c>
      <x:c r="D12" s="72" t="n">
        <x:v>8</x:v>
      </x:c>
      <x:c r="E12" s="72" t="str">
        <x:f>IFERROR(IF(VLOOKUP(D12,Giocatori!$A$4:$C$73,2,FALSE)&lt;&gt;"",VLOOKUP(D12,Giocatori!$A$4:$C$73,2,FALSE),"Giocatore "&amp;D12),"Giocatore "&amp;D12)</x:f>
        <x:v>Ambrosino Raffaele</x:v>
      </x:c>
      <x:c r="F12" s="63" t="str"/>
      <x:c r="G12" s="63" t="str"/>
      <x:c r="H12" s="63" t="n">
        <x:v>0</x:v>
      </x:c>
      <x:c r="I12" s="72" t="str">
        <x:f>IF(OR(G12="",G12&lt;1,G12&gt;5),"",CHOOSE(G12,9,6,4,2,1)+2*IF(H12="",0,H12))</x:f>
      </x:c>
      <x:c r="J12" s="63" t="str"/>
    </x:row>
    <x:row r="13">
      <x:c r="A13" s="72" t="n">
        <x:v>1</x:v>
      </x:c>
      <x:c r="B13" s="72" t="str">
        <x:v>B</x:v>
      </x:c>
      <x:c r="C13" s="72" t="n">
        <x:v>4</x:v>
      </x:c>
      <x:c r="D13" s="72" t="n">
        <x:v>9</x:v>
      </x:c>
      <x:c r="E13" s="72" t="str">
        <x:f>IFERROR(IF(VLOOKUP(D13,Giocatori!$A$4:$C$73,2,FALSE)&lt;&gt;"",VLOOKUP(D13,Giocatori!$A$4:$C$73,2,FALSE),"Giocatore "&amp;D13),"Giocatore "&amp;D13)</x:f>
        <x:v>Nappo Angelo</x:v>
      </x:c>
      <x:c r="F13" s="63" t="str"/>
      <x:c r="G13" s="63" t="str"/>
      <x:c r="H13" s="63" t="n">
        <x:v>0</x:v>
      </x:c>
      <x:c r="I13" s="72" t="str">
        <x:f>IF(OR(G13="",G13&lt;1,G13&gt;5),"",CHOOSE(G13,9,6,4,2,1)+2*IF(H13="",0,H13))</x:f>
      </x:c>
      <x:c r="J13" s="63" t="str"/>
    </x:row>
    <x:row r="14">
      <x:c r="A14" s="72" t="n">
        <x:v>1</x:v>
      </x:c>
      <x:c r="B14" s="72" t="str">
        <x:v>B</x:v>
      </x:c>
      <x:c r="C14" s="72" t="n">
        <x:v>5</x:v>
      </x:c>
      <x:c r="D14" s="72" t="n">
        <x:v>10</x:v>
      </x:c>
      <x:c r="E14" s="72" t="str">
        <x:f>IFERROR(IF(VLOOKUP(D14,Giocatori!$A$4:$C$73,2,FALSE)&lt;&gt;"",VLOOKUP(D14,Giocatori!$A$4:$C$73,2,FALSE),"Giocatore "&amp;D14),"Giocatore "&amp;D14)</x:f>
        <x:v>Cavallaro Erasmo</x:v>
      </x:c>
      <x:c r="F14" s="63" t="str"/>
      <x:c r="G14" s="63" t="str"/>
      <x:c r="H14" s="63" t="n">
        <x:v>0</x:v>
      </x:c>
      <x:c r="I14" s="72" t="str">
        <x:f>IF(OR(G14="",G14&lt;1,G14&gt;5),"",CHOOSE(G14,9,6,4,2,1)+2*IF(H14="",0,H14))</x:f>
      </x:c>
      <x:c r="J14" s="63" t="str"/>
    </x:row>
    <x:row r="15">
      <x:c r="A15" s="72" t="n">
        <x:v>1</x:v>
      </x:c>
      <x:c r="B15" s="72" t="str">
        <x:v>C</x:v>
      </x:c>
      <x:c r="C15" s="72" t="n">
        <x:v>1</x:v>
      </x:c>
      <x:c r="D15" s="72" t="n">
        <x:v>11</x:v>
      </x:c>
      <x:c r="E15" s="72" t="str">
        <x:f>IFERROR(IF(VLOOKUP(D15,Giocatori!$A$4:$C$73,2,FALSE)&lt;&gt;"",VLOOKUP(D15,Giocatori!$A$4:$C$73,2,FALSE),"Giocatore "&amp;D15),"Giocatore "&amp;D15)</x:f>
        <x:v>Notaro Giacomo</x:v>
      </x:c>
      <x:c r="F15" s="63" t="str"/>
      <x:c r="G15" s="63" t="str"/>
      <x:c r="H15" s="63" t="n">
        <x:v>0</x:v>
      </x:c>
      <x:c r="I15" s="72" t="str">
        <x:f>IF(OR(G15="",G15&lt;1,G15&gt;5),"",CHOOSE(G15,9,6,4,2,1)+2*IF(H15="",0,H15))</x:f>
      </x:c>
      <x:c r="J15" s="63" t="str"/>
    </x:row>
    <x:row r="16">
      <x:c r="A16" s="72" t="n">
        <x:v>1</x:v>
      </x:c>
      <x:c r="B16" s="72" t="str">
        <x:v>C</x:v>
      </x:c>
      <x:c r="C16" s="72" t="n">
        <x:v>2</x:v>
      </x:c>
      <x:c r="D16" s="72" t="n">
        <x:v>12</x:v>
      </x:c>
      <x:c r="E16" s="72" t="str">
        <x:f>IFERROR(IF(VLOOKUP(D16,Giocatori!$A$4:$C$73,2,FALSE)&lt;&gt;"",VLOOKUP(D16,Giocatori!$A$4:$C$73,2,FALSE),"Giocatore "&amp;D16),"Giocatore "&amp;D16)</x:f>
        <x:v>Scognamiglio Alfredo</x:v>
      </x:c>
      <x:c r="F16" s="63" t="str"/>
      <x:c r="G16" s="63" t="str"/>
      <x:c r="H16" s="63" t="n">
        <x:v>0</x:v>
      </x:c>
      <x:c r="I16" s="72" t="str">
        <x:f>IF(OR(G16="",G16&lt;1,G16&gt;5),"",CHOOSE(G16,9,6,4,2,1)+2*IF(H16="",0,H16))</x:f>
      </x:c>
      <x:c r="J16" s="63" t="str"/>
    </x:row>
    <x:row r="17">
      <x:c r="A17" s="72" t="n">
        <x:v>1</x:v>
      </x:c>
      <x:c r="B17" s="72" t="str">
        <x:v>C</x:v>
      </x:c>
      <x:c r="C17" s="72" t="n">
        <x:v>3</x:v>
      </x:c>
      <x:c r="D17" s="72" t="n">
        <x:v>13</x:v>
      </x:c>
      <x:c r="E17" s="72" t="str">
        <x:f>IFERROR(IF(VLOOKUP(D17,Giocatori!$A$4:$C$73,2,FALSE)&lt;&gt;"",VLOOKUP(D17,Giocatori!$A$4:$C$73,2,FALSE),"Giocatore "&amp;D17),"Giocatore "&amp;D17)</x:f>
        <x:v>Del Vecchio Diego</x:v>
      </x:c>
      <x:c r="F17" s="63" t="str"/>
      <x:c r="G17" s="63" t="str"/>
      <x:c r="H17" s="63" t="n">
        <x:v>0</x:v>
      </x:c>
      <x:c r="I17" s="72" t="str">
        <x:f>IF(OR(G17="",G17&lt;1,G17&gt;5),"",CHOOSE(G17,9,6,4,2,1)+2*IF(H17="",0,H17))</x:f>
      </x:c>
      <x:c r="J17" s="63" t="str"/>
    </x:row>
    <x:row r="18">
      <x:c r="A18" s="72" t="n">
        <x:v>1</x:v>
      </x:c>
      <x:c r="B18" s="72" t="str">
        <x:v>C</x:v>
      </x:c>
      <x:c r="C18" s="72" t="n">
        <x:v>4</x:v>
      </x:c>
      <x:c r="D18" s="72" t="n">
        <x:v>14</x:v>
      </x:c>
      <x:c r="E18" s="72" t="str">
        <x:f>IFERROR(IF(VLOOKUP(D18,Giocatori!$A$4:$C$73,2,FALSE)&lt;&gt;"",VLOOKUP(D18,Giocatori!$A$4:$C$73,2,FALSE),"Giocatore "&amp;D18),"Giocatore "&amp;D18)</x:f>
        <x:v>Beracci Lucio</x:v>
      </x:c>
      <x:c r="F18" s="63" t="str"/>
      <x:c r="G18" s="63" t="str"/>
      <x:c r="H18" s="63" t="n">
        <x:v>0</x:v>
      </x:c>
      <x:c r="I18" s="72" t="str">
        <x:f>IF(OR(G18="",G18&lt;1,G18&gt;5),"",CHOOSE(G18,9,6,4,2,1)+2*IF(H18="",0,H18))</x:f>
      </x:c>
      <x:c r="J18" s="63" t="str"/>
    </x:row>
    <x:row r="19">
      <x:c r="A19" s="72" t="n">
        <x:v>1</x:v>
      </x:c>
      <x:c r="B19" s="72" t="str">
        <x:v>C</x:v>
      </x:c>
      <x:c r="C19" s="72" t="n">
        <x:v>5</x:v>
      </x:c>
      <x:c r="D19" s="72" t="n">
        <x:v>15</x:v>
      </x:c>
      <x:c r="E19" s="72" t="str">
        <x:f>IFERROR(IF(VLOOKUP(D19,Giocatori!$A$4:$C$73,2,FALSE)&lt;&gt;"",VLOOKUP(D19,Giocatori!$A$4:$C$73,2,FALSE),"Giocatore "&amp;D19),"Giocatore "&amp;D19)</x:f>
        <x:v>De Falco Andrea</x:v>
      </x:c>
      <x:c r="F19" s="63" t="str"/>
      <x:c r="G19" s="63" t="str"/>
      <x:c r="H19" s="63" t="n">
        <x:v>0</x:v>
      </x:c>
      <x:c r="I19" s="72" t="str">
        <x:f>IF(OR(G19="",G19&lt;1,G19&gt;5),"",CHOOSE(G19,9,6,4,2,1)+2*IF(H19="",0,H19))</x:f>
      </x:c>
      <x:c r="J19" s="63" t="str"/>
    </x:row>
    <x:row r="20">
      <x:c r="A20" s="72" t="n">
        <x:v>1</x:v>
      </x:c>
      <x:c r="B20" s="72" t="str">
        <x:v>D</x:v>
      </x:c>
      <x:c r="C20" s="72" t="n">
        <x:v>1</x:v>
      </x:c>
      <x:c r="D20" s="72" t="n">
        <x:v>16</x:v>
      </x:c>
      <x:c r="E20" s="72" t="str">
        <x:f>IFERROR(IF(VLOOKUP(D20,Giocatori!$A$4:$C$73,2,FALSE)&lt;&gt;"",VLOOKUP(D20,Giocatori!$A$4:$C$73,2,FALSE),"Giocatore "&amp;D20),"Giocatore "&amp;D20)</x:f>
        <x:v>Beracci Benedetto</x:v>
      </x:c>
      <x:c r="F20" s="63" t="str"/>
      <x:c r="G20" s="63" t="str"/>
      <x:c r="H20" s="63" t="n">
        <x:v>0</x:v>
      </x:c>
      <x:c r="I20" s="72" t="str">
        <x:f>IF(OR(G20="",G20&lt;1,G20&gt;5),"",CHOOSE(G20,9,6,4,2,1)+2*IF(H20="",0,H20))</x:f>
      </x:c>
      <x:c r="J20" s="63" t="str"/>
    </x:row>
    <x:row r="21">
      <x:c r="A21" s="72" t="n">
        <x:v>1</x:v>
      </x:c>
      <x:c r="B21" s="72" t="str">
        <x:v>D</x:v>
      </x:c>
      <x:c r="C21" s="72" t="n">
        <x:v>2</x:v>
      </x:c>
      <x:c r="D21" s="72" t="n">
        <x:v>17</x:v>
      </x:c>
      <x:c r="E21" s="72" t="str">
        <x:f>IFERROR(IF(VLOOKUP(D21,Giocatori!$A$4:$C$73,2,FALSE)&lt;&gt;"",VLOOKUP(D21,Giocatori!$A$4:$C$73,2,FALSE),"Giocatore "&amp;D21),"Giocatore "&amp;D21)</x:f>
        <x:v>Tufano Giovanni</x:v>
      </x:c>
      <x:c r="F21" s="63" t="str"/>
      <x:c r="G21" s="63" t="str"/>
      <x:c r="H21" s="63" t="n">
        <x:v>0</x:v>
      </x:c>
      <x:c r="I21" s="72" t="str">
        <x:f>IF(OR(G21="",G21&lt;1,G21&gt;5),"",CHOOSE(G21,9,6,4,2,1)+2*IF(H21="",0,H21))</x:f>
      </x:c>
      <x:c r="J21" s="63" t="str"/>
    </x:row>
    <x:row r="22">
      <x:c r="A22" s="72" t="n">
        <x:v>1</x:v>
      </x:c>
      <x:c r="B22" s="72" t="str">
        <x:v>D</x:v>
      </x:c>
      <x:c r="C22" s="72" t="n">
        <x:v>3</x:v>
      </x:c>
      <x:c r="D22" s="72" t="n">
        <x:v>18</x:v>
      </x:c>
      <x:c r="E22" s="72" t="str">
        <x:f>IFERROR(IF(VLOOKUP(D22,Giocatori!$A$4:$C$73,2,FALSE)&lt;&gt;"",VLOOKUP(D22,Giocatori!$A$4:$C$73,2,FALSE),"Giocatore "&amp;D22),"Giocatore "&amp;D22)</x:f>
        <x:v>Ambrosino Gabriele</x:v>
      </x:c>
      <x:c r="F22" s="63" t="str"/>
      <x:c r="G22" s="63" t="str"/>
      <x:c r="H22" s="63" t="n">
        <x:v>0</x:v>
      </x:c>
      <x:c r="I22" s="72" t="str">
        <x:f>IF(OR(G22="",G22&lt;1,G22&gt;5),"",CHOOSE(G22,9,6,4,2,1)+2*IF(H22="",0,H22))</x:f>
      </x:c>
      <x:c r="J22" s="63" t="str"/>
    </x:row>
    <x:row r="23">
      <x:c r="A23" s="72" t="n">
        <x:v>1</x:v>
      </x:c>
      <x:c r="B23" s="72" t="str">
        <x:v>D</x:v>
      </x:c>
      <x:c r="C23" s="72" t="n">
        <x:v>4</x:v>
      </x:c>
      <x:c r="D23" s="72" t="n">
        <x:v>19</x:v>
      </x:c>
      <x:c r="E23" s="72" t="str">
        <x:f>IFERROR(IF(VLOOKUP(D23,Giocatori!$A$4:$C$73,2,FALSE)&lt;&gt;"",VLOOKUP(D23,Giocatori!$A$4:$C$73,2,FALSE),"Giocatore "&amp;D23),"Giocatore "&amp;D23)</x:f>
        <x:v>Strocchia Franco</x:v>
      </x:c>
      <x:c r="F23" s="63" t="str"/>
      <x:c r="G23" s="63" t="str"/>
      <x:c r="H23" s="63" t="n">
        <x:v>0</x:v>
      </x:c>
      <x:c r="I23" s="72" t="str">
        <x:f>IF(OR(G23="",G23&lt;1,G23&gt;5),"",CHOOSE(G23,9,6,4,2,1)+2*IF(H23="",0,H23))</x:f>
      </x:c>
      <x:c r="J23" s="63" t="str"/>
    </x:row>
    <x:row r="24">
      <x:c r="A24" s="72" t="n">
        <x:v>1</x:v>
      </x:c>
      <x:c r="B24" s="72" t="str">
        <x:v>D</x:v>
      </x:c>
      <x:c r="C24" s="72" t="n">
        <x:v>5</x:v>
      </x:c>
      <x:c r="D24" s="72" t="n">
        <x:v>20</x:v>
      </x:c>
      <x:c r="E24" s="72" t="str">
        <x:f>IFERROR(IF(VLOOKUP(D24,Giocatori!$A$4:$C$73,2,FALSE)&lt;&gt;"",VLOOKUP(D24,Giocatori!$A$4:$C$73,2,FALSE),"Giocatore "&amp;D24),"Giocatore "&amp;D24)</x:f>
        <x:v>Morelli Carmine</x:v>
      </x:c>
      <x:c r="F24" s="63" t="str"/>
      <x:c r="G24" s="63" t="str"/>
      <x:c r="H24" s="63" t="n">
        <x:v>0</x:v>
      </x:c>
      <x:c r="I24" s="72" t="str">
        <x:f>IF(OR(G24="",G24&lt;1,G24&gt;5),"",CHOOSE(G24,9,6,4,2,1)+2*IF(H24="",0,H24))</x:f>
      </x:c>
      <x:c r="J24" s="63" t="str"/>
    </x:row>
    <x:row r="25">
      <x:c r="A25" s="72" t="n">
        <x:v>1</x:v>
      </x:c>
      <x:c r="B25" s="72" t="str">
        <x:v>E</x:v>
      </x:c>
      <x:c r="C25" s="72" t="n">
        <x:v>1</x:v>
      </x:c>
      <x:c r="D25" s="72" t="n">
        <x:v>21</x:v>
      </x:c>
      <x:c r="E25" s="72" t="str">
        <x:f>IFERROR(IF(VLOOKUP(D25,Giocatori!$A$4:$C$73,2,FALSE)&lt;&gt;"",VLOOKUP(D25,Giocatori!$A$4:$C$73,2,FALSE),"Giocatore "&amp;D25),"Giocatore "&amp;D25)</x:f>
        <x:v>Tufano Raffaele</x:v>
      </x:c>
      <x:c r="F25" s="63" t="str"/>
      <x:c r="G25" s="63" t="str"/>
      <x:c r="H25" s="63" t="n">
        <x:v>0</x:v>
      </x:c>
      <x:c r="I25" s="72" t="str">
        <x:f>IF(OR(G25="",G25&lt;1,G25&gt;5),"",CHOOSE(G25,9,6,4,2,1)+2*IF(H25="",0,H25))</x:f>
      </x:c>
      <x:c r="J25" s="63" t="str"/>
    </x:row>
    <x:row r="26">
      <x:c r="A26" s="72" t="n">
        <x:v>1</x:v>
      </x:c>
      <x:c r="B26" s="72" t="str">
        <x:v>E</x:v>
      </x:c>
      <x:c r="C26" s="72" t="n">
        <x:v>2</x:v>
      </x:c>
      <x:c r="D26" s="72" t="n">
        <x:v>22</x:v>
      </x:c>
      <x:c r="E26" s="72" t="str">
        <x:f>IFERROR(IF(VLOOKUP(D26,Giocatori!$A$4:$C$73,2,FALSE)&lt;&gt;"",VLOOKUP(D26,Giocatori!$A$4:$C$73,2,FALSE),"Giocatore "&amp;D26),"Giocatore "&amp;D26)</x:f>
        <x:v>Napolitano Antonio</x:v>
      </x:c>
      <x:c r="F26" s="63" t="str"/>
      <x:c r="G26" s="63" t="str"/>
      <x:c r="H26" s="63" t="n">
        <x:v>0</x:v>
      </x:c>
      <x:c r="I26" s="72" t="str">
        <x:f>IF(OR(G26="",G26&lt;1,G26&gt;5),"",CHOOSE(G26,9,6,4,2,1)+2*IF(H26="",0,H26))</x:f>
      </x:c>
      <x:c r="J26" s="63" t="str"/>
    </x:row>
    <x:row r="27">
      <x:c r="A27" s="72" t="n">
        <x:v>1</x:v>
      </x:c>
      <x:c r="B27" s="72" t="str">
        <x:v>E</x:v>
      </x:c>
      <x:c r="C27" s="72" t="n">
        <x:v>3</x:v>
      </x:c>
      <x:c r="D27" s="72" t="n">
        <x:v>23</x:v>
      </x:c>
      <x:c r="E27" s="72" t="str">
        <x:f>IFERROR(IF(VLOOKUP(D27,Giocatori!$A$4:$C$73,2,FALSE)&lt;&gt;"",VLOOKUP(D27,Giocatori!$A$4:$C$73,2,FALSE),"Giocatore "&amp;D27),"Giocatore "&amp;D27)</x:f>
        <x:v>Notaro Massimo</x:v>
      </x:c>
      <x:c r="F27" s="63" t="str"/>
      <x:c r="G27" s="63" t="str"/>
      <x:c r="H27" s="63" t="n">
        <x:v>0</x:v>
      </x:c>
      <x:c r="I27" s="72" t="str">
        <x:f>IF(OR(G27="",G27&lt;1,G27&gt;5),"",CHOOSE(G27,9,6,4,2,1)+2*IF(H27="",0,H27))</x:f>
      </x:c>
      <x:c r="J27" s="63" t="str"/>
    </x:row>
    <x:row r="28">
      <x:c r="A28" s="72" t="n">
        <x:v>1</x:v>
      </x:c>
      <x:c r="B28" s="72" t="str">
        <x:v>E</x:v>
      </x:c>
      <x:c r="C28" s="72" t="n">
        <x:v>4</x:v>
      </x:c>
      <x:c r="D28" s="72" t="n">
        <x:v>24</x:v>
      </x:c>
      <x:c r="E28" s="72" t="str">
        <x:f>IFERROR(IF(VLOOKUP(D28,Giocatori!$A$4:$C$73,2,FALSE)&lt;&gt;"",VLOOKUP(D28,Giocatori!$A$4:$C$73,2,FALSE),"Giocatore "&amp;D28),"Giocatore "&amp;D28)</x:f>
        <x:v>Pierro Giuseppe</x:v>
      </x:c>
      <x:c r="F28" s="63" t="str"/>
      <x:c r="G28" s="63" t="str"/>
      <x:c r="H28" s="63" t="n">
        <x:v>0</x:v>
      </x:c>
      <x:c r="I28" s="72" t="str">
        <x:f>IF(OR(G28="",G28&lt;1,G28&gt;5),"",CHOOSE(G28,9,6,4,2,1)+2*IF(H28="",0,H28))</x:f>
      </x:c>
      <x:c r="J28" s="63" t="str"/>
    </x:row>
    <x:row r="29">
      <x:c r="A29" s="72" t="n">
        <x:v>1</x:v>
      </x:c>
      <x:c r="B29" s="72" t="str">
        <x:v>E</x:v>
      </x:c>
      <x:c r="C29" s="72" t="n">
        <x:v>5</x:v>
      </x:c>
      <x:c r="D29" s="72" t="n">
        <x:v>25</x:v>
      </x:c>
      <x:c r="E29" s="72" t="str">
        <x:f>IFERROR(IF(VLOOKUP(D29,Giocatori!$A$4:$C$73,2,FALSE)&lt;&gt;"",VLOOKUP(D29,Giocatori!$A$4:$C$73,2,FALSE),"Giocatore "&amp;D29),"Giocatore "&amp;D29)</x:f>
        <x:v>Giugliano Francesco</x:v>
      </x:c>
      <x:c r="F29" s="63" t="str"/>
      <x:c r="G29" s="63" t="str"/>
      <x:c r="H29" s="63" t="n">
        <x:v>0</x:v>
      </x:c>
      <x:c r="I29" s="72" t="str">
        <x:f>IF(OR(G29="",G29&lt;1,G29&gt;5),"",CHOOSE(G29,9,6,4,2,1)+2*IF(H29="",0,H29))</x:f>
      </x:c>
      <x:c r="J29" s="63" t="str"/>
    </x:row>
    <x:row r="30">
      <x:c r="A30" s="72" t="n">
        <x:v>1</x:v>
      </x:c>
      <x:c r="B30" s="72" t="str">
        <x:v>F</x:v>
      </x:c>
      <x:c r="C30" s="72" t="n">
        <x:v>1</x:v>
      </x:c>
      <x:c r="D30" s="72" t="n">
        <x:v>26</x:v>
      </x:c>
      <x:c r="E30" s="72" t="str">
        <x:f>IFERROR(IF(VLOOKUP(D30,Giocatori!$A$4:$C$73,2,FALSE)&lt;&gt;"",VLOOKUP(D30,Giocatori!$A$4:$C$73,2,FALSE),"Giocatore "&amp;D30),"Giocatore "&amp;D30)</x:f>
        <x:v>Gesso Marco</x:v>
      </x:c>
      <x:c r="F30" s="63" t="str"/>
      <x:c r="G30" s="63" t="str"/>
      <x:c r="H30" s="63" t="n">
        <x:v>0</x:v>
      </x:c>
      <x:c r="I30" s="72" t="str">
        <x:f>IF(OR(G30="",G30&lt;1,G30&gt;5),"",CHOOSE(G30,9,6,4,2,1)+2*IF(H30="",0,H30))</x:f>
      </x:c>
      <x:c r="J30" s="63" t="str"/>
    </x:row>
    <x:row r="31">
      <x:c r="A31" s="72" t="n">
        <x:v>1</x:v>
      </x:c>
      <x:c r="B31" s="72" t="str">
        <x:v>F</x:v>
      </x:c>
      <x:c r="C31" s="72" t="n">
        <x:v>2</x:v>
      </x:c>
      <x:c r="D31" s="72" t="n">
        <x:v>27</x:v>
      </x:c>
      <x:c r="E31" s="72" t="str">
        <x:f>IFERROR(IF(VLOOKUP(D31,Giocatori!$A$4:$C$73,2,FALSE)&lt;&gt;"",VLOOKUP(D31,Giocatori!$A$4:$C$73,2,FALSE),"Giocatore "&amp;D31),"Giocatore "&amp;D31)</x:f>
        <x:v>Napolitano Angelo</x:v>
      </x:c>
      <x:c r="F31" s="63" t="str"/>
      <x:c r="G31" s="63" t="str"/>
      <x:c r="H31" s="63" t="n">
        <x:v>0</x:v>
      </x:c>
      <x:c r="I31" s="72" t="str">
        <x:f>IF(OR(G31="",G31&lt;1,G31&gt;5),"",CHOOSE(G31,9,6,4,2,1)+2*IF(H31="",0,H31))</x:f>
      </x:c>
      <x:c r="J31" s="63" t="str"/>
    </x:row>
    <x:row r="32">
      <x:c r="A32" s="72" t="n">
        <x:v>1</x:v>
      </x:c>
      <x:c r="B32" s="72" t="str">
        <x:v>F</x:v>
      </x:c>
      <x:c r="C32" s="72" t="n">
        <x:v>3</x:v>
      </x:c>
      <x:c r="D32" s="72" t="n">
        <x:v>28</x:v>
      </x:c>
      <x:c r="E32" s="72" t="str">
        <x:f>IFERROR(IF(VLOOKUP(D32,Giocatori!$A$4:$C$73,2,FALSE)&lt;&gt;"",VLOOKUP(D32,Giocatori!$A$4:$C$73,2,FALSE),"Giocatore "&amp;D32),"Giocatore "&amp;D32)</x:f>
        <x:v>Fontanella Carmine</x:v>
      </x:c>
      <x:c r="F32" s="63" t="str"/>
      <x:c r="G32" s="63" t="str"/>
      <x:c r="H32" s="63" t="n">
        <x:v>0</x:v>
      </x:c>
      <x:c r="I32" s="72" t="str">
        <x:f>IF(OR(G32="",G32&lt;1,G32&gt;5),"",CHOOSE(G32,9,6,4,2,1)+2*IF(H32="",0,H32))</x:f>
      </x:c>
      <x:c r="J32" s="63" t="str"/>
    </x:row>
    <x:row r="33">
      <x:c r="A33" s="72" t="n">
        <x:v>1</x:v>
      </x:c>
      <x:c r="B33" s="72" t="str">
        <x:v>F</x:v>
      </x:c>
      <x:c r="C33" s="72" t="n">
        <x:v>4</x:v>
      </x:c>
      <x:c r="D33" s="72" t="n">
        <x:v>29</x:v>
      </x:c>
      <x:c r="E33" s="72" t="str">
        <x:f>IFERROR(IF(VLOOKUP(D33,Giocatori!$A$4:$C$73,2,FALSE)&lt;&gt;"",VLOOKUP(D33,Giocatori!$A$4:$C$73,2,FALSE),"Giocatore "&amp;D33),"Giocatore "&amp;D33)</x:f>
        <x:v>Nappi Nestore</x:v>
      </x:c>
      <x:c r="F33" s="63" t="str"/>
      <x:c r="G33" s="63" t="str"/>
      <x:c r="H33" s="63" t="n">
        <x:v>0</x:v>
      </x:c>
      <x:c r="I33" s="72" t="str">
        <x:f>IF(OR(G33="",G33&lt;1,G33&gt;5),"",CHOOSE(G33,9,6,4,2,1)+2*IF(H33="",0,H33))</x:f>
      </x:c>
      <x:c r="J33" s="63" t="str"/>
    </x:row>
    <x:row r="34">
      <x:c r="A34" s="72" t="n">
        <x:v>1</x:v>
      </x:c>
      <x:c r="B34" s="72" t="str">
        <x:v>F</x:v>
      </x:c>
      <x:c r="C34" s="72" t="n">
        <x:v>5</x:v>
      </x:c>
      <x:c r="D34" s="72" t="n">
        <x:v>30</x:v>
      </x:c>
      <x:c r="E34" s="72" t="str">
        <x:f>IFERROR(IF(VLOOKUP(D34,Giocatori!$A$4:$C$73,2,FALSE)&lt;&gt;"",VLOOKUP(D34,Giocatori!$A$4:$C$73,2,FALSE),"Giocatore "&amp;D34),"Giocatore "&amp;D34)</x:f>
        <x:v>Tufano Giuseppe</x:v>
      </x:c>
      <x:c r="F34" s="63" t="str"/>
      <x:c r="G34" s="63" t="str"/>
      <x:c r="H34" s="63" t="n">
        <x:v>0</x:v>
      </x:c>
      <x:c r="I34" s="72" t="str">
        <x:f>IF(OR(G34="",G34&lt;1,G34&gt;5),"",CHOOSE(G34,9,6,4,2,1)+2*IF(H34="",0,H34))</x:f>
      </x:c>
      <x:c r="J34" s="63" t="str"/>
    </x:row>
    <x:row r="35">
      <x:c r="A35" s="72" t="n">
        <x:v>1</x:v>
      </x:c>
      <x:c r="B35" s="72" t="str">
        <x:v>G</x:v>
      </x:c>
      <x:c r="C35" s="72" t="n">
        <x:v>1</x:v>
      </x:c>
      <x:c r="D35" s="72" t="n">
        <x:v>31</x:v>
      </x:c>
      <x:c r="E35" s="72" t="str">
        <x:f>IFERROR(IF(VLOOKUP(D35,Giocatori!$A$4:$C$73,2,FALSE)&lt;&gt;"",VLOOKUP(D35,Giocatori!$A$4:$C$73,2,FALSE),"Giocatore "&amp;D35),"Giocatore "&amp;D35)</x:f>
        <x:v>Polacco Tommaso</x:v>
      </x:c>
      <x:c r="F35" s="63" t="str"/>
      <x:c r="G35" s="63" t="str"/>
      <x:c r="H35" s="63" t="n">
        <x:v>0</x:v>
      </x:c>
      <x:c r="I35" s="72" t="str">
        <x:f>IF(OR(G35="",G35&lt;1,G35&gt;5),"",CHOOSE(G35,9,6,4,2,1)+2*IF(H35="",0,H35))</x:f>
      </x:c>
      <x:c r="J35" s="63" t="str"/>
    </x:row>
    <x:row r="36">
      <x:c r="A36" s="72" t="n">
        <x:v>1</x:v>
      </x:c>
      <x:c r="B36" s="72" t="str">
        <x:v>G</x:v>
      </x:c>
      <x:c r="C36" s="72" t="n">
        <x:v>2</x:v>
      </x:c>
      <x:c r="D36" s="72" t="n">
        <x:v>32</x:v>
      </x:c>
      <x:c r="E36" s="72" t="str">
        <x:f>IFERROR(IF(VLOOKUP(D36,Giocatori!$A$4:$C$73,2,FALSE)&lt;&gt;"",VLOOKUP(D36,Giocatori!$A$4:$C$73,2,FALSE),"Giocatore "&amp;D36),"Giocatore "&amp;D36)</x:f>
        <x:v>Marotta Pasquale</x:v>
      </x:c>
      <x:c r="F36" s="63" t="str"/>
      <x:c r="G36" s="63" t="str"/>
      <x:c r="H36" s="63" t="n">
        <x:v>0</x:v>
      </x:c>
      <x:c r="I36" s="72" t="str">
        <x:f>IF(OR(G36="",G36&lt;1,G36&gt;5),"",CHOOSE(G36,9,6,4,2,1)+2*IF(H36="",0,H36))</x:f>
      </x:c>
      <x:c r="J36" s="63" t="str"/>
    </x:row>
    <x:row r="37">
      <x:c r="A37" s="72" t="n">
        <x:v>1</x:v>
      </x:c>
      <x:c r="B37" s="72" t="str">
        <x:v>G</x:v>
      </x:c>
      <x:c r="C37" s="72" t="n">
        <x:v>3</x:v>
      </x:c>
      <x:c r="D37" s="72" t="n">
        <x:v>33</x:v>
      </x:c>
      <x:c r="E37" s="72" t="str">
        <x:f>IFERROR(IF(VLOOKUP(D37,Giocatori!$A$4:$C$73,2,FALSE)&lt;&gt;"",VLOOKUP(D37,Giocatori!$A$4:$C$73,2,FALSE),"Giocatore "&amp;D37),"Giocatore "&amp;D37)</x:f>
        <x:v>Franzese Francesco</x:v>
      </x:c>
      <x:c r="F37" s="63" t="str"/>
      <x:c r="G37" s="63" t="str"/>
      <x:c r="H37" s="63" t="n">
        <x:v>0</x:v>
      </x:c>
      <x:c r="I37" s="72" t="str">
        <x:f>IF(OR(G37="",G37&lt;1,G37&gt;5),"",CHOOSE(G37,9,6,4,2,1)+2*IF(H37="",0,H37))</x:f>
      </x:c>
      <x:c r="J37" s="63" t="str"/>
    </x:row>
    <x:row r="38">
      <x:c r="A38" s="72" t="n">
        <x:v>1</x:v>
      </x:c>
      <x:c r="B38" s="72" t="str">
        <x:v>G</x:v>
      </x:c>
      <x:c r="C38" s="72" t="n">
        <x:v>4</x:v>
      </x:c>
      <x:c r="D38" s="72" t="n">
        <x:v>34</x:v>
      </x:c>
      <x:c r="E38" s="72" t="str">
        <x:f>IFERROR(IF(VLOOKUP(D38,Giocatori!$A$4:$C$73,2,FALSE)&lt;&gt;"",VLOOKUP(D38,Giocatori!$A$4:$C$73,2,FALSE),"Giocatore "&amp;D38),"Giocatore "&amp;D38)</x:f>
        <x:v>Fontanella Giuseppe</x:v>
      </x:c>
      <x:c r="F38" s="63" t="str"/>
      <x:c r="G38" s="63" t="str"/>
      <x:c r="H38" s="63" t="n">
        <x:v>0</x:v>
      </x:c>
      <x:c r="I38" s="72" t="str">
        <x:f>IF(OR(G38="",G38&lt;1,G38&gt;5),"",CHOOSE(G38,9,6,4,2,1)+2*IF(H38="",0,H38))</x:f>
      </x:c>
      <x:c r="J38" s="63" t="str"/>
    </x:row>
    <x:row r="39">
      <x:c r="A39" s="72" t="n">
        <x:v>1</x:v>
      </x:c>
      <x:c r="B39" s="72" t="str">
        <x:v>G</x:v>
      </x:c>
      <x:c r="C39" s="72" t="n">
        <x:v>5</x:v>
      </x:c>
      <x:c r="D39" s="72" t="n">
        <x:v>35</x:v>
      </x:c>
      <x:c r="E39" s="72" t="str">
        <x:f>IFERROR(IF(VLOOKUP(D39,Giocatori!$A$4:$C$73,2,FALSE)&lt;&gt;"",VLOOKUP(D39,Giocatori!$A$4:$C$73,2,FALSE),"Giocatore "&amp;D39),"Giocatore "&amp;D39)</x:f>
        <x:v>Panico Giuseppe</x:v>
      </x:c>
      <x:c r="F39" s="63" t="str"/>
      <x:c r="G39" s="63" t="str"/>
      <x:c r="H39" s="63" t="n">
        <x:v>0</x:v>
      </x:c>
      <x:c r="I39" s="72" t="str">
        <x:f>IF(OR(G39="",G39&lt;1,G39&gt;5),"",CHOOSE(G39,9,6,4,2,1)+2*IF(H39="",0,H39))</x:f>
      </x:c>
      <x:c r="J39" s="63" t="str"/>
    </x:row>
    <x:row r="40">
      <x:c r="A40" s="72" t="n">
        <x:v>1</x:v>
      </x:c>
      <x:c r="B40" s="72" t="str">
        <x:v>H</x:v>
      </x:c>
      <x:c r="C40" s="72" t="n">
        <x:v>1</x:v>
      </x:c>
      <x:c r="D40" s="72" t="n">
        <x:v>36</x:v>
      </x:c>
      <x:c r="E40" s="72" t="str">
        <x:f>IFERROR(IF(VLOOKUP(D40,Giocatori!$A$4:$C$73,2,FALSE)&lt;&gt;"",VLOOKUP(D40,Giocatori!$A$4:$C$73,2,FALSE),"Giocatore "&amp;D40),"Giocatore "&amp;D40)</x:f>
        <x:v>Moccia Biagio</x:v>
      </x:c>
      <x:c r="F40" s="63" t="str"/>
      <x:c r="G40" s="63" t="str"/>
      <x:c r="H40" s="63" t="n">
        <x:v>0</x:v>
      </x:c>
      <x:c r="I40" s="72" t="str">
        <x:f>IF(OR(G40="",G40&lt;1,G40&gt;5),"",CHOOSE(G40,9,6,4,2,1)+2*IF(H40="",0,H40))</x:f>
      </x:c>
      <x:c r="J40" s="63" t="str"/>
    </x:row>
    <x:row r="41">
      <x:c r="A41" s="72" t="n">
        <x:v>1</x:v>
      </x:c>
      <x:c r="B41" s="72" t="str">
        <x:v>H</x:v>
      </x:c>
      <x:c r="C41" s="72" t="n">
        <x:v>2</x:v>
      </x:c>
      <x:c r="D41" s="72" t="n">
        <x:v>37</x:v>
      </x:c>
      <x:c r="E41" s="72" t="str">
        <x:f>IFERROR(IF(VLOOKUP(D41,Giocatori!$A$4:$C$73,2,FALSE)&lt;&gt;"",VLOOKUP(D41,Giocatori!$A$4:$C$73,2,FALSE),"Giocatore "&amp;D41),"Giocatore "&amp;D41)</x:f>
        <x:v>Spallone Carmine</x:v>
      </x:c>
      <x:c r="F41" s="63" t="str"/>
      <x:c r="G41" s="63" t="str"/>
      <x:c r="H41" s="63" t="n">
        <x:v>0</x:v>
      </x:c>
      <x:c r="I41" s="72" t="str">
        <x:f>IF(OR(G41="",G41&lt;1,G41&gt;5),"",CHOOSE(G41,9,6,4,2,1)+2*IF(H41="",0,H41))</x:f>
      </x:c>
      <x:c r="J41" s="63" t="str"/>
    </x:row>
    <x:row r="42">
      <x:c r="A42" s="72" t="n">
        <x:v>1</x:v>
      </x:c>
      <x:c r="B42" s="72" t="str">
        <x:v>H</x:v>
      </x:c>
      <x:c r="C42" s="72" t="n">
        <x:v>3</x:v>
      </x:c>
      <x:c r="D42" s="72" t="n">
        <x:v>38</x:v>
      </x:c>
      <x:c r="E42" s="72" t="str">
        <x:f>IFERROR(IF(VLOOKUP(D42,Giocatori!$A$4:$C$73,2,FALSE)&lt;&gt;"",VLOOKUP(D42,Giocatori!$A$4:$C$73,2,FALSE),"Giocatore "&amp;D42),"Giocatore "&amp;D42)</x:f>
        <x:v>Mauro Nicola</x:v>
      </x:c>
      <x:c r="F42" s="63" t="str"/>
      <x:c r="G42" s="63" t="str"/>
      <x:c r="H42" s="63" t="n">
        <x:v>0</x:v>
      </x:c>
      <x:c r="I42" s="72" t="str">
        <x:f>IF(OR(G42="",G42&lt;1,G42&gt;5),"",CHOOSE(G42,9,6,4,2,1)+2*IF(H42="",0,H42))</x:f>
      </x:c>
      <x:c r="J42" s="63" t="str"/>
    </x:row>
    <x:row r="43">
      <x:c r="A43" s="72" t="n">
        <x:v>1</x:v>
      </x:c>
      <x:c r="B43" s="72" t="str">
        <x:v>H</x:v>
      </x:c>
      <x:c r="C43" s="72" t="n">
        <x:v>4</x:v>
      </x:c>
      <x:c r="D43" s="72" t="n">
        <x:v>39</x:v>
      </x:c>
      <x:c r="E43" s="72" t="str">
        <x:f>IFERROR(IF(VLOOKUP(D43,Giocatori!$A$4:$C$73,2,FALSE)&lt;&gt;"",VLOOKUP(D43,Giocatori!$A$4:$C$73,2,FALSE),"Giocatore "&amp;D43),"Giocatore "&amp;D43)</x:f>
        <x:v>Ambrosino Lello</x:v>
      </x:c>
      <x:c r="F43" s="63" t="str"/>
      <x:c r="G43" s="63" t="str"/>
      <x:c r="H43" s="63" t="n">
        <x:v>0</x:v>
      </x:c>
      <x:c r="I43" s="72" t="str">
        <x:f>IF(OR(G43="",G43&lt;1,G43&gt;5),"",CHOOSE(G43,9,6,4,2,1)+2*IF(H43="",0,H43))</x:f>
      </x:c>
      <x:c r="J43" s="63" t="str"/>
    </x:row>
    <x:row r="44">
      <x:c r="A44" s="72" t="n">
        <x:v>1</x:v>
      </x:c>
      <x:c r="B44" s="72" t="str">
        <x:v>H</x:v>
      </x:c>
      <x:c r="C44" s="72" t="n">
        <x:v>5</x:v>
      </x:c>
      <x:c r="D44" s="72" t="n">
        <x:v>40</x:v>
      </x:c>
      <x:c r="E44" s="72" t="str">
        <x:f>IFERROR(IF(VLOOKUP(D44,Giocatori!$A$4:$C$73,2,FALSE)&lt;&gt;"",VLOOKUP(D44,Giocatori!$A$4:$C$73,2,FALSE),"Giocatore "&amp;D44),"Giocatore "&amp;D44)</x:f>
        <x:v>Carbone Felice</x:v>
      </x:c>
      <x:c r="F44" s="63" t="str"/>
      <x:c r="G44" s="63" t="str"/>
      <x:c r="H44" s="63" t="n">
        <x:v>0</x:v>
      </x:c>
      <x:c r="I44" s="72" t="str">
        <x:f>IF(OR(G44="",G44&lt;1,G44&gt;5),"",CHOOSE(G44,9,6,4,2,1)+2*IF(H44="",0,H44))</x:f>
      </x:c>
      <x:c r="J44" s="63" t="str"/>
    </x:row>
    <x:row r="45">
      <x:c r="A45" s="72" t="n">
        <x:v>1</x:v>
      </x:c>
      <x:c r="B45" s="72" t="str">
        <x:v>I</x:v>
      </x:c>
      <x:c r="C45" s="72" t="n">
        <x:v>1</x:v>
      </x:c>
      <x:c r="D45" s="72" t="n">
        <x:v>41</x:v>
      </x:c>
      <x:c r="E45" s="72" t="str">
        <x:f>IFERROR(IF(VLOOKUP(D45,Giocatori!$A$4:$C$73,2,FALSE)&lt;&gt;"",VLOOKUP(D45,Giocatori!$A$4:$C$73,2,FALSE),"Giocatore "&amp;D45),"Giocatore "&amp;D45)</x:f>
        <x:v>Nocerino Nunzio</x:v>
      </x:c>
      <x:c r="F45" s="63" t="str"/>
      <x:c r="G45" s="63" t="str"/>
      <x:c r="H45" s="63" t="n">
        <x:v>0</x:v>
      </x:c>
      <x:c r="I45" s="72" t="str">
        <x:f>IF(OR(G45="",G45&lt;1,G45&gt;5),"",CHOOSE(G45,9,6,4,2,1)+2*IF(H45="",0,H45))</x:f>
      </x:c>
      <x:c r="J45" s="63" t="str"/>
    </x:row>
    <x:row r="46">
      <x:c r="A46" s="72" t="n">
        <x:v>1</x:v>
      </x:c>
      <x:c r="B46" s="72" t="str">
        <x:v>I</x:v>
      </x:c>
      <x:c r="C46" s="72" t="n">
        <x:v>2</x:v>
      </x:c>
      <x:c r="D46" s="72" t="n">
        <x:v>42</x:v>
      </x:c>
      <x:c r="E46" s="72" t="str">
        <x:f>IFERROR(IF(VLOOKUP(D46,Giocatori!$A$4:$C$73,2,FALSE)&lt;&gt;"",VLOOKUP(D46,Giocatori!$A$4:$C$73,2,FALSE),"Giocatore "&amp;D46),"Giocatore "&amp;D46)</x:f>
        <x:v>Guerriero Giuseppe</x:v>
      </x:c>
      <x:c r="F46" s="63" t="str"/>
      <x:c r="G46" s="63" t="str"/>
      <x:c r="H46" s="63" t="n">
        <x:v>0</x:v>
      </x:c>
      <x:c r="I46" s="72" t="str">
        <x:f>IF(OR(G46="",G46&lt;1,G46&gt;5),"",CHOOSE(G46,9,6,4,2,1)+2*IF(H46="",0,H46))</x:f>
      </x:c>
      <x:c r="J46" s="63" t="str"/>
    </x:row>
    <x:row r="47">
      <x:c r="A47" s="72" t="n">
        <x:v>1</x:v>
      </x:c>
      <x:c r="B47" s="72" t="str">
        <x:v>I</x:v>
      </x:c>
      <x:c r="C47" s="72" t="n">
        <x:v>3</x:v>
      </x:c>
      <x:c r="D47" s="72" t="n">
        <x:v>43</x:v>
      </x:c>
      <x:c r="E47" s="72" t="str">
        <x:f>IFERROR(IF(VLOOKUP(D47,Giocatori!$A$4:$C$73,2,FALSE)&lt;&gt;"",VLOOKUP(D47,Giocatori!$A$4:$C$73,2,FALSE),"Giocatore "&amp;D47),"Giocatore "&amp;D47)</x:f>
        <x:v>Ruotolo Sabatino</x:v>
      </x:c>
      <x:c r="F47" s="63" t="str"/>
      <x:c r="G47" s="63" t="str"/>
      <x:c r="H47" s="63" t="n">
        <x:v>0</x:v>
      </x:c>
      <x:c r="I47" s="72" t="str">
        <x:f>IF(OR(G47="",G47&lt;1,G47&gt;5),"",CHOOSE(G47,9,6,4,2,1)+2*IF(H47="",0,H47))</x:f>
      </x:c>
      <x:c r="J47" s="63" t="str"/>
    </x:row>
    <x:row r="48">
      <x:c r="A48" s="72" t="n">
        <x:v>1</x:v>
      </x:c>
      <x:c r="B48" s="72" t="str">
        <x:v>I</x:v>
      </x:c>
      <x:c r="C48" s="72" t="n">
        <x:v>4</x:v>
      </x:c>
      <x:c r="D48" s="72" t="n">
        <x:v>44</x:v>
      </x:c>
      <x:c r="E48" s="72" t="str">
        <x:f>IFERROR(IF(VLOOKUP(D48,Giocatori!$A$4:$C$73,2,FALSE)&lt;&gt;"",VLOOKUP(D48,Giocatori!$A$4:$C$73,2,FALSE),"Giocatore "&amp;D48),"Giocatore "&amp;D48)</x:f>
        <x:v>Abbate Michele</x:v>
      </x:c>
      <x:c r="F48" s="63" t="str"/>
      <x:c r="G48" s="63" t="str"/>
      <x:c r="H48" s="63" t="n">
        <x:v>0</x:v>
      </x:c>
      <x:c r="I48" s="72" t="str">
        <x:f>IF(OR(G48="",G48&lt;1,G48&gt;5),"",CHOOSE(G48,9,6,4,2,1)+2*IF(H48="",0,H48))</x:f>
      </x:c>
      <x:c r="J48" s="63" t="str"/>
    </x:row>
    <x:row r="49">
      <x:c r="A49" s="72" t="n">
        <x:v>1</x:v>
      </x:c>
      <x:c r="B49" s="72" t="str">
        <x:v>I</x:v>
      </x:c>
      <x:c r="C49" s="72" t="n">
        <x:v>5</x:v>
      </x:c>
      <x:c r="D49" s="72" t="n">
        <x:v>45</x:v>
      </x:c>
      <x:c r="E49" s="72" t="str">
        <x:f>IFERROR(IF(VLOOKUP(D49,Giocatori!$A$4:$C$73,2,FALSE)&lt;&gt;"",VLOOKUP(D49,Giocatori!$A$4:$C$73,2,FALSE),"Giocatore "&amp;D49),"Giocatore "&amp;D49)</x:f>
        <x:v>Isernia Antonio</x:v>
      </x:c>
      <x:c r="F49" s="63" t="str"/>
      <x:c r="G49" s="63" t="str"/>
      <x:c r="H49" s="63" t="n">
        <x:v>0</x:v>
      </x:c>
      <x:c r="I49" s="72" t="str">
        <x:f>IF(OR(G49="",G49&lt;1,G49&gt;5),"",CHOOSE(G49,9,6,4,2,1)+2*IF(H49="",0,H49))</x:f>
      </x:c>
      <x:c r="J49" s="63" t="str"/>
    </x:row>
    <x:row r="50">
      <x:c r="A50" s="72" t="n">
        <x:v>1</x:v>
      </x:c>
      <x:c r="B50" s="72" t="str">
        <x:v>J</x:v>
      </x:c>
      <x:c r="C50" s="72" t="n">
        <x:v>1</x:v>
      </x:c>
      <x:c r="D50" s="72" t="n">
        <x:v>46</x:v>
      </x:c>
      <x:c r="E50" s="72" t="str">
        <x:f>IFERROR(IF(VLOOKUP(D50,Giocatori!$A$4:$C$73,2,FALSE)&lt;&gt;"",VLOOKUP(D50,Giocatori!$A$4:$C$73,2,FALSE),"Giocatore "&amp;D50),"Giocatore "&amp;D50)</x:f>
        <x:v>Cafarelli Manolo</x:v>
      </x:c>
      <x:c r="F50" s="63" t="str"/>
      <x:c r="G50" s="63" t="str"/>
      <x:c r="H50" s="63" t="n">
        <x:v>0</x:v>
      </x:c>
      <x:c r="I50" s="72" t="str">
        <x:f>IF(OR(G50="",G50&lt;1,G50&gt;5),"",CHOOSE(G50,9,6,4,2,1)+2*IF(H50="",0,H50))</x:f>
      </x:c>
      <x:c r="J50" s="63" t="str"/>
    </x:row>
    <x:row r="51">
      <x:c r="A51" s="72" t="n">
        <x:v>1</x:v>
      </x:c>
      <x:c r="B51" s="72" t="str">
        <x:v>J</x:v>
      </x:c>
      <x:c r="C51" s="72" t="n">
        <x:v>2</x:v>
      </x:c>
      <x:c r="D51" s="72" t="n">
        <x:v>47</x:v>
      </x:c>
      <x:c r="E51" s="72" t="str">
        <x:f>IFERROR(IF(VLOOKUP(D51,Giocatori!$A$4:$C$73,2,FALSE)&lt;&gt;"",VLOOKUP(D51,Giocatori!$A$4:$C$73,2,FALSE),"Giocatore "&amp;D51),"Giocatore "&amp;D51)</x:f>
        <x:v>Casoria Felice</x:v>
      </x:c>
      <x:c r="F51" s="63" t="str"/>
      <x:c r="G51" s="63" t="str"/>
      <x:c r="H51" s="63" t="n">
        <x:v>0</x:v>
      </x:c>
      <x:c r="I51" s="72" t="str">
        <x:f>IF(OR(G51="",G51&lt;1,G51&gt;5),"",CHOOSE(G51,9,6,4,2,1)+2*IF(H51="",0,H51))</x:f>
      </x:c>
      <x:c r="J51" s="63" t="str"/>
    </x:row>
    <x:row r="52">
      <x:c r="A52" s="72" t="n">
        <x:v>1</x:v>
      </x:c>
      <x:c r="B52" s="72" t="str">
        <x:v>J</x:v>
      </x:c>
      <x:c r="C52" s="72" t="n">
        <x:v>3</x:v>
      </x:c>
      <x:c r="D52" s="72" t="n">
        <x:v>48</x:v>
      </x:c>
      <x:c r="E52" s="72" t="str">
        <x:f>IFERROR(IF(VLOOKUP(D52,Giocatori!$A$4:$C$73,2,FALSE)&lt;&gt;"",VLOOKUP(D52,Giocatori!$A$4:$C$73,2,FALSE),"Giocatore "&amp;D52),"Giocatore "&amp;D52)</x:f>
        <x:v>Nspolitano Carlo</x:v>
      </x:c>
      <x:c r="F52" s="63" t="str"/>
      <x:c r="G52" s="63" t="str"/>
      <x:c r="H52" s="63" t="n">
        <x:v>0</x:v>
      </x:c>
      <x:c r="I52" s="72" t="str">
        <x:f>IF(OR(G52="",G52&lt;1,G52&gt;5),"",CHOOSE(G52,9,6,4,2,1)+2*IF(H52="",0,H52))</x:f>
      </x:c>
      <x:c r="J52" s="63" t="str"/>
    </x:row>
    <x:row r="53">
      <x:c r="A53" s="72" t="n">
        <x:v>1</x:v>
      </x:c>
      <x:c r="B53" s="72" t="str">
        <x:v>J</x:v>
      </x:c>
      <x:c r="C53" s="72" t="n">
        <x:v>4</x:v>
      </x:c>
      <x:c r="D53" s="72" t="n">
        <x:v>49</x:v>
      </x:c>
      <x:c r="E53" s="72" t="str">
        <x:f>IFERROR(IF(VLOOKUP(D53,Giocatori!$A$4:$C$73,2,FALSE)&lt;&gt;"",VLOOKUP(D53,Giocatori!$A$4:$C$73,2,FALSE),"Giocatore "&amp;D53),"Giocatore "&amp;D53)</x:f>
        <x:v>Tufano Michele</x:v>
      </x:c>
      <x:c r="F53" s="63" t="str"/>
      <x:c r="G53" s="63" t="str"/>
      <x:c r="H53" s="63" t="n">
        <x:v>0</x:v>
      </x:c>
      <x:c r="I53" s="72" t="str">
        <x:f>IF(OR(G53="",G53&lt;1,G53&gt;5),"",CHOOSE(G53,9,6,4,2,1)+2*IF(H53="",0,H53))</x:f>
      </x:c>
      <x:c r="J53" s="63" t="str"/>
    </x:row>
    <x:row r="54">
      <x:c r="A54" s="72" t="n">
        <x:v>1</x:v>
      </x:c>
      <x:c r="B54" s="72" t="str">
        <x:v>J</x:v>
      </x:c>
      <x:c r="C54" s="72" t="n">
        <x:v>5</x:v>
      </x:c>
      <x:c r="D54" s="72" t="n">
        <x:v>50</x:v>
      </x:c>
      <x:c r="E54" s="72" t="str">
        <x:f>IFERROR(IF(VLOOKUP(D54,Giocatori!$A$4:$C$73,2,FALSE)&lt;&gt;"",VLOOKUP(D54,Giocatori!$A$4:$C$73,2,FALSE),"Giocatore "&amp;D54),"Giocatore "&amp;D54)</x:f>
        <x:v>Bartolo</x:v>
      </x:c>
      <x:c r="F54" s="63" t="str"/>
      <x:c r="G54" s="63" t="str"/>
      <x:c r="H54" s="63" t="n">
        <x:v>0</x:v>
      </x:c>
      <x:c r="I54" s="72" t="str">
        <x:f>IF(OR(G54="",G54&lt;1,G54&gt;5),"",CHOOSE(G54,9,6,4,2,1)+2*IF(H54="",0,H54))</x:f>
      </x:c>
      <x:c r="J54" s="63" t="str"/>
    </x:row>
    <x:row r="55">
      <x:c r="A55" s="72" t="n">
        <x:v>1</x:v>
      </x:c>
      <x:c r="B55" s="72" t="str">
        <x:v>K</x:v>
      </x:c>
      <x:c r="C55" s="72" t="n">
        <x:v>1</x:v>
      </x:c>
      <x:c r="D55" s="72" t="n">
        <x:v>51</x:v>
      </x:c>
      <x:c r="E55" s="72" t="str">
        <x:f>IFERROR(IF(VLOOKUP(D55,Giocatori!$A$4:$C$73,2,FALSE)&lt;&gt;"",VLOOKUP(D55,Giocatori!$A$4:$C$73,2,FALSE),"Giocatore "&amp;D55),"Giocatore "&amp;D55)</x:f>
        <x:v>Domenico</x:v>
      </x:c>
      <x:c r="F55" s="63" t="str"/>
      <x:c r="G55" s="63" t="str"/>
      <x:c r="H55" s="63" t="n">
        <x:v>0</x:v>
      </x:c>
      <x:c r="I55" s="72" t="str">
        <x:f>IF(OR(G55="",G55&lt;1,G55&gt;5),"",CHOOSE(G55,9,6,4,2,1)+2*IF(H55="",0,H55))</x:f>
      </x:c>
      <x:c r="J55" s="63" t="str"/>
    </x:row>
    <x:row r="56">
      <x:c r="A56" s="72" t="n">
        <x:v>1</x:v>
      </x:c>
      <x:c r="B56" s="72" t="str">
        <x:v>K</x:v>
      </x:c>
      <x:c r="C56" s="72" t="n">
        <x:v>2</x:v>
      </x:c>
      <x:c r="D56" s="72" t="n">
        <x:v>52</x:v>
      </x:c>
      <x:c r="E56" s="72" t="str">
        <x:f>IFERROR(IF(VLOOKUP(D56,Giocatori!$A$4:$C$73,2,FALSE)&lt;&gt;"",VLOOKUP(D56,Giocatori!$A$4:$C$73,2,FALSE),"Giocatore "&amp;D56),"Giocatore "&amp;D56)</x:f>
        <x:v>Montanera Michele</x:v>
      </x:c>
      <x:c r="F56" s="63" t="str"/>
      <x:c r="G56" s="63" t="str"/>
      <x:c r="H56" s="63" t="n">
        <x:v>0</x:v>
      </x:c>
      <x:c r="I56" s="72" t="str">
        <x:f>IF(OR(G56="",G56&lt;1,G56&gt;5),"",CHOOSE(G56,9,6,4,2,1)+2*IF(H56="",0,H56))</x:f>
      </x:c>
      <x:c r="J56" s="63" t="str"/>
    </x:row>
    <x:row r="57">
      <x:c r="A57" s="72" t="n">
        <x:v>1</x:v>
      </x:c>
      <x:c r="B57" s="72" t="str">
        <x:v>K</x:v>
      </x:c>
      <x:c r="C57" s="72" t="n">
        <x:v>3</x:v>
      </x:c>
      <x:c r="D57" s="72" t="n">
        <x:v>53</x:v>
      </x:c>
      <x:c r="E57" s="72" t="str">
        <x:f>IFERROR(IF(VLOOKUP(D57,Giocatori!$A$4:$C$73,2,FALSE)&lt;&gt;"",VLOOKUP(D57,Giocatori!$A$4:$C$73,2,FALSE),"Giocatore "&amp;D57),"Giocatore "&amp;D57)</x:f>
        <x:v>Gaita Rossano</x:v>
      </x:c>
      <x:c r="F57" s="63" t="str"/>
      <x:c r="G57" s="63" t="str"/>
      <x:c r="H57" s="63" t="n">
        <x:v>0</x:v>
      </x:c>
      <x:c r="I57" s="72" t="str">
        <x:f>IF(OR(G57="",G57&lt;1,G57&gt;5),"",CHOOSE(G57,9,6,4,2,1)+2*IF(H57="",0,H57))</x:f>
      </x:c>
      <x:c r="J57" s="63" t="str"/>
    </x:row>
    <x:row r="58">
      <x:c r="A58" s="72" t="n">
        <x:v>1</x:v>
      </x:c>
      <x:c r="B58" s="72" t="str">
        <x:v>K</x:v>
      </x:c>
      <x:c r="C58" s="72" t="n">
        <x:v>4</x:v>
      </x:c>
      <x:c r="D58" s="72" t="n">
        <x:v>54</x:v>
      </x:c>
      <x:c r="E58" s="72" t="str">
        <x:f>IFERROR(IF(VLOOKUP(D58,Giocatori!$A$4:$C$73,2,FALSE)&lt;&gt;"",VLOOKUP(D58,Giocatori!$A$4:$C$73,2,FALSE),"Giocatore "&amp;D58),"Giocatore "&amp;D58)</x:f>
        <x:v>Giugliano Domenico</x:v>
      </x:c>
      <x:c r="F58" s="63" t="str"/>
      <x:c r="G58" s="63" t="str"/>
      <x:c r="H58" s="63" t="n">
        <x:v>0</x:v>
      </x:c>
      <x:c r="I58" s="72" t="str">
        <x:f>IF(OR(G58="",G58&lt;1,G58&gt;5),"",CHOOSE(G58,9,6,4,2,1)+2*IF(H58="",0,H58))</x:f>
      </x:c>
      <x:c r="J58" s="63" t="str"/>
    </x:row>
    <x:row r="59">
      <x:c r="A59" s="72" t="n">
        <x:v>1</x:v>
      </x:c>
      <x:c r="B59" s="72" t="str">
        <x:v>K</x:v>
      </x:c>
      <x:c r="C59" s="72" t="n">
        <x:v>5</x:v>
      </x:c>
      <x:c r="D59" s="72" t="n">
        <x:v>55</x:v>
      </x:c>
      <x:c r="E59" s="72" t="str">
        <x:f>IFERROR(IF(VLOOKUP(D59,Giocatori!$A$4:$C$73,2,FALSE)&lt;&gt;"",VLOOKUP(D59,Giocatori!$A$4:$C$73,2,FALSE),"Giocatore "&amp;D59),"Giocatore "&amp;D59)</x:f>
        <x:v>Montanera Raffaele</x:v>
      </x:c>
      <x:c r="F59" s="63" t="str"/>
      <x:c r="G59" s="63" t="str"/>
      <x:c r="H59" s="63" t="n">
        <x:v>0</x:v>
      </x:c>
      <x:c r="I59" s="72" t="str">
        <x:f>IF(OR(G59="",G59&lt;1,G59&gt;5),"",CHOOSE(G59,9,6,4,2,1)+2*IF(H59="",0,H59))</x:f>
      </x:c>
      <x:c r="J59" s="63" t="str"/>
    </x:row>
    <x:row r="60">
      <x:c r="A60" s="72" t="n">
        <x:v>1</x:v>
      </x:c>
      <x:c r="B60" s="72" t="str">
        <x:v>L</x:v>
      </x:c>
      <x:c r="C60" s="72" t="n">
        <x:v>1</x:v>
      </x:c>
      <x:c r="D60" s="72" t="n">
        <x:v>56</x:v>
      </x:c>
      <x:c r="E60" s="72" t="str">
        <x:f>IFERROR(IF(VLOOKUP(D60,Giocatori!$A$4:$C$73,2,FALSE)&lt;&gt;"",VLOOKUP(D60,Giocatori!$A$4:$C$73,2,FALSE),"Giocatore "&amp;D60),"Giocatore "&amp;D60)</x:f>
        <x:v>Oreste</x:v>
      </x:c>
      <x:c r="F60" s="63" t="str"/>
      <x:c r="G60" s="63" t="str"/>
      <x:c r="H60" s="63" t="n">
        <x:v>0</x:v>
      </x:c>
      <x:c r="I60" s="72" t="str">
        <x:f>IF(OR(G60="",G60&lt;1,G60&gt;5),"",CHOOSE(G60,9,6,4,2,1)+2*IF(H60="",0,H60))</x:f>
      </x:c>
      <x:c r="J60" s="63" t="str"/>
    </x:row>
    <x:row r="61">
      <x:c r="A61" s="72" t="n">
        <x:v>1</x:v>
      </x:c>
      <x:c r="B61" s="72" t="str">
        <x:v>L</x:v>
      </x:c>
      <x:c r="C61" s="72" t="n">
        <x:v>2</x:v>
      </x:c>
      <x:c r="D61" s="72" t="n">
        <x:v>57</x:v>
      </x:c>
      <x:c r="E61" s="72" t="str">
        <x:f>IFERROR(IF(VLOOKUP(D61,Giocatori!$A$4:$C$73,2,FALSE)&lt;&gt;"",VLOOKUP(D61,Giocatori!$A$4:$C$73,2,FALSE),"Giocatore "&amp;D61),"Giocatore "&amp;D61)</x:f>
        <x:v>Sirico Crescenzo</x:v>
      </x:c>
      <x:c r="F61" s="63" t="str"/>
      <x:c r="G61" s="63" t="str"/>
      <x:c r="H61" s="63" t="n">
        <x:v>0</x:v>
      </x:c>
      <x:c r="I61" s="72" t="str">
        <x:f>IF(OR(G61="",G61&lt;1,G61&gt;5),"",CHOOSE(G61,9,6,4,2,1)+2*IF(H61="",0,H61))</x:f>
      </x:c>
      <x:c r="J61" s="63" t="str"/>
    </x:row>
    <x:row r="62">
      <x:c r="A62" s="72" t="n">
        <x:v>1</x:v>
      </x:c>
      <x:c r="B62" s="72" t="str">
        <x:v>L</x:v>
      </x:c>
      <x:c r="C62" s="72" t="n">
        <x:v>3</x:v>
      </x:c>
      <x:c r="D62" s="72" t="n">
        <x:v>58</x:v>
      </x:c>
      <x:c r="E62" s="72" t="str">
        <x:f>IFERROR(IF(VLOOKUP(D62,Giocatori!$A$4:$C$73,2,FALSE)&lt;&gt;"",VLOOKUP(D62,Giocatori!$A$4:$C$73,2,FALSE),"Giocatore "&amp;D62),"Giocatore "&amp;D62)</x:f>
        <x:v>Mauro Salvatore</x:v>
      </x:c>
      <x:c r="F62" s="63" t="str"/>
      <x:c r="G62" s="63" t="str"/>
      <x:c r="H62" s="63" t="n">
        <x:v>0</x:v>
      </x:c>
      <x:c r="I62" s="72" t="str">
        <x:f>IF(OR(G62="",G62&lt;1,G62&gt;5),"",CHOOSE(G62,9,6,4,2,1)+2*IF(H62="",0,H62))</x:f>
      </x:c>
      <x:c r="J62" s="63" t="str"/>
    </x:row>
    <x:row r="63">
      <x:c r="A63" s="72" t="n">
        <x:v>1</x:v>
      </x:c>
      <x:c r="B63" s="72" t="str">
        <x:v>L</x:v>
      </x:c>
      <x:c r="C63" s="72" t="n">
        <x:v>4</x:v>
      </x:c>
      <x:c r="D63" s="72" t="n">
        <x:v>59</x:v>
      </x:c>
      <x:c r="E63" s="72" t="str">
        <x:f>IFERROR(IF(VLOOKUP(D63,Giocatori!$A$4:$C$73,2,FALSE)&lt;&gt;"",VLOOKUP(D63,Giocatori!$A$4:$C$73,2,FALSE),"Giocatore "&amp;D63),"Giocatore "&amp;D63)</x:f>
        <x:v>Angiero Anna</x:v>
      </x:c>
      <x:c r="F63" s="63" t="str"/>
      <x:c r="G63" s="63" t="str"/>
      <x:c r="H63" s="63" t="n">
        <x:v>0</x:v>
      </x:c>
      <x:c r="I63" s="72" t="str">
        <x:f>IF(OR(G63="",G63&lt;1,G63&gt;5),"",CHOOSE(G63,9,6,4,2,1)+2*IF(H63="",0,H63))</x:f>
      </x:c>
      <x:c r="J63" s="63" t="str"/>
    </x:row>
    <x:row r="64">
      <x:c r="A64" s="72" t="n">
        <x:v>1</x:v>
      </x:c>
      <x:c r="B64" s="72" t="str">
        <x:v>L</x:v>
      </x:c>
      <x:c r="C64" s="72" t="n">
        <x:v>5</x:v>
      </x:c>
      <x:c r="D64" s="72" t="n">
        <x:v>60</x:v>
      </x:c>
      <x:c r="E64" s="72" t="str">
        <x:f>IFERROR(IF(VLOOKUP(D64,Giocatori!$A$4:$C$73,2,FALSE)&lt;&gt;"",VLOOKUP(D64,Giocatori!$A$4:$C$73,2,FALSE),"Giocatore "&amp;D64),"Giocatore "&amp;D64)</x:f>
        <x:v>Di Grazia Salvatore</x:v>
      </x:c>
      <x:c r="F64" s="63" t="str"/>
      <x:c r="G64" s="63" t="str"/>
      <x:c r="H64" s="63" t="n">
        <x:v>0</x:v>
      </x:c>
      <x:c r="I64" s="72" t="str">
        <x:f>IF(OR(G64="",G64&lt;1,G64&gt;5),"",CHOOSE(G64,9,6,4,2,1)+2*IF(H64="",0,H64))</x:f>
      </x:c>
      <x:c r="J64" s="63" t="str"/>
    </x:row>
    <x:row r="65">
      <x:c r="A65" s="72" t="n">
        <x:v>1</x:v>
      </x:c>
      <x:c r="B65" s="72" t="str">
        <x:v>M</x:v>
      </x:c>
      <x:c r="C65" s="72" t="n">
        <x:v>1</x:v>
      </x:c>
      <x:c r="D65" s="72" t="n">
        <x:v>61</x:v>
      </x:c>
      <x:c r="E65" s="72" t="str">
        <x:f>IFERROR(IF(VLOOKUP(D65,Giocatori!$A$4:$C$73,2,FALSE)&lt;&gt;"",VLOOKUP(D65,Giocatori!$A$4:$C$73,2,FALSE),"Giocatore "&amp;D65),"Giocatore "&amp;D65)</x:f>
        <x:v>Mauro Cantice</x:v>
      </x:c>
      <x:c r="F65" s="63" t="str"/>
      <x:c r="G65" s="63" t="str"/>
      <x:c r="H65" s="63" t="n">
        <x:v>0</x:v>
      </x:c>
      <x:c r="I65" s="72" t="str">
        <x:f>IF(OR(G65="",G65&lt;1,G65&gt;5),"",CHOOSE(G65,9,6,4,2,1)+2*IF(H65="",0,H65))</x:f>
      </x:c>
      <x:c r="J65" s="63" t="str"/>
    </x:row>
    <x:row r="66">
      <x:c r="A66" s="72" t="n">
        <x:v>1</x:v>
      </x:c>
      <x:c r="B66" s="72" t="str">
        <x:v>M</x:v>
      </x:c>
      <x:c r="C66" s="72" t="n">
        <x:v>2</x:v>
      </x:c>
      <x:c r="D66" s="72" t="n">
        <x:v>62</x:v>
      </x:c>
      <x:c r="E66" s="72" t="str">
        <x:f>IFERROR(IF(VLOOKUP(D66,Giocatori!$A$4:$C$73,2,FALSE)&lt;&gt;"",VLOOKUP(D66,Giocatori!$A$4:$C$73,2,FALSE),"Giocatore "&amp;D66),"Giocatore "&amp;D66)</x:f>
        <x:v>Corbo Angelo</x:v>
      </x:c>
      <x:c r="F66" s="63" t="str"/>
      <x:c r="G66" s="63" t="str"/>
      <x:c r="H66" s="63" t="n">
        <x:v>0</x:v>
      </x:c>
      <x:c r="I66" s="72" t="str">
        <x:f>IF(OR(G66="",G66&lt;1,G66&gt;5),"",CHOOSE(G66,9,6,4,2,1)+2*IF(H66="",0,H66))</x:f>
      </x:c>
      <x:c r="J66" s="63" t="str"/>
    </x:row>
    <x:row r="67">
      <x:c r="A67" s="72" t="n">
        <x:v>1</x:v>
      </x:c>
      <x:c r="B67" s="72" t="str">
        <x:v>M</x:v>
      </x:c>
      <x:c r="C67" s="72" t="n">
        <x:v>3</x:v>
      </x:c>
      <x:c r="D67" s="72" t="n">
        <x:v>63</x:v>
      </x:c>
      <x:c r="E67" s="72" t="str">
        <x:f>IFERROR(IF(VLOOKUP(D67,Giocatori!$A$4:$C$73,2,FALSE)&lt;&gt;"",VLOOKUP(D67,Giocatori!$A$4:$C$73,2,FALSE),"Giocatore "&amp;D67),"Giocatore "&amp;D67)</x:f>
        <x:v>Fuschillo Francesco</x:v>
      </x:c>
      <x:c r="F67" s="63" t="str"/>
      <x:c r="G67" s="63" t="str"/>
      <x:c r="H67" s="63" t="n">
        <x:v>0</x:v>
      </x:c>
      <x:c r="I67" s="72" t="str">
        <x:f>IF(OR(G67="",G67&lt;1,G67&gt;5),"",CHOOSE(G67,9,6,4,2,1)+2*IF(H67="",0,H67))</x:f>
      </x:c>
      <x:c r="J67" s="63" t="str"/>
    </x:row>
    <x:row r="68">
      <x:c r="A68" s="72" t="n">
        <x:v>1</x:v>
      </x:c>
      <x:c r="B68" s="72" t="str">
        <x:v>M</x:v>
      </x:c>
      <x:c r="C68" s="72" t="n">
        <x:v>4</x:v>
      </x:c>
      <x:c r="D68" s="72" t="n">
        <x:v>64</x:v>
      </x:c>
      <x:c r="E68" s="72" t="str">
        <x:f>IFERROR(IF(VLOOKUP(D68,Giocatori!$A$4:$C$73,2,FALSE)&lt;&gt;"",VLOOKUP(D68,Giocatori!$A$4:$C$73,2,FALSE),"Giocatore "&amp;D68),"Giocatore "&amp;D68)</x:f>
        <x:v>Tufano Michele 2</x:v>
      </x:c>
      <x:c r="F68" s="63" t="str"/>
      <x:c r="G68" s="63" t="str"/>
      <x:c r="H68" s="63" t="n">
        <x:v>0</x:v>
      </x:c>
      <x:c r="I68" s="72" t="str">
        <x:f>IF(OR(G68="",G68&lt;1,G68&gt;5),"",CHOOSE(G68,9,6,4,2,1)+2*IF(H68="",0,H68))</x:f>
      </x:c>
      <x:c r="J68" s="63" t="str"/>
    </x:row>
    <x:row r="69">
      <x:c r="A69" s="72" t="n">
        <x:v>1</x:v>
      </x:c>
      <x:c r="B69" s="72" t="str">
        <x:v>M</x:v>
      </x:c>
      <x:c r="C69" s="72" t="n">
        <x:v>5</x:v>
      </x:c>
      <x:c r="D69" s="72" t="n">
        <x:v>65</x:v>
      </x:c>
      <x:c r="E69" s="72" t="str">
        <x:f>IFERROR(IF(VLOOKUP(D69,Giocatori!$A$4:$C$73,2,FALSE)&lt;&gt;"",VLOOKUP(D69,Giocatori!$A$4:$C$73,2,FALSE),"Giocatore "&amp;D69),"Giocatore "&amp;D69)</x:f>
        <x:v>Tufano Michele 3</x:v>
      </x:c>
      <x:c r="F69" s="63" t="str"/>
      <x:c r="G69" s="63" t="str"/>
      <x:c r="H69" s="63" t="n">
        <x:v>0</x:v>
      </x:c>
      <x:c r="I69" s="72" t="str">
        <x:f>IF(OR(G69="",G69&lt;1,G69&gt;5),"",CHOOSE(G69,9,6,4,2,1)+2*IF(H69="",0,H69))</x:f>
      </x:c>
      <x:c r="J69" s="63" t="str"/>
    </x:row>
    <x:row r="70">
      <x:c r="A70" s="76" t="n">
        <x:v>2</x:v>
      </x:c>
      <x:c r="B70" s="76" t="str">
        <x:v>A</x:v>
      </x:c>
      <x:c r="C70" s="76" t="n">
        <x:v>1</x:v>
      </x:c>
      <x:c r="D70" s="76" t="n">
        <x:v>1</x:v>
      </x:c>
      <x:c r="E70" s="76" t="str">
        <x:f>IFERROR(IF(VLOOKUP(D70,Giocatori!$A$4:$C$73,2,FALSE)&lt;&gt;"",VLOOKUP(D70,Giocatori!$A$4:$C$73,2,FALSE),"Giocatore "&amp;D70),"Giocatore "&amp;D70)</x:f>
        <x:v>Annunziata Michele</x:v>
      </x:c>
      <x:c r="F70" s="77" t="str"/>
      <x:c r="G70" s="77" t="str"/>
      <x:c r="H70" s="77" t="n">
        <x:v>0</x:v>
      </x:c>
      <x:c r="I70" s="76" t="str">
        <x:f>IF(OR(G70="",G70&lt;1,G70&gt;5),"",CHOOSE(G70,9,6,4,2,1)+2*IF(H70="",0,H70))</x:f>
      </x:c>
      <x:c r="J70" s="77" t="str"/>
    </x:row>
    <x:row r="71">
      <x:c r="A71" s="72" t="n">
        <x:v>2</x:v>
      </x:c>
      <x:c r="B71" s="72" t="str">
        <x:v>A</x:v>
      </x:c>
      <x:c r="C71" s="72" t="n">
        <x:v>2</x:v>
      </x:c>
      <x:c r="D71" s="72" t="n">
        <x:v>62</x:v>
      </x:c>
      <x:c r="E71" s="72" t="str">
        <x:f>IFERROR(IF(VLOOKUP(D71,Giocatori!$A$4:$C$73,2,FALSE)&lt;&gt;"",VLOOKUP(D71,Giocatori!$A$4:$C$73,2,FALSE),"Giocatore "&amp;D71),"Giocatore "&amp;D71)</x:f>
        <x:v>Corbo Angelo</x:v>
      </x:c>
      <x:c r="F71" s="63" t="str"/>
      <x:c r="G71" s="63" t="str"/>
      <x:c r="H71" s="63" t="n">
        <x:v>0</x:v>
      </x:c>
      <x:c r="I71" s="72" t="str">
        <x:f>IF(OR(G71="",G71&lt;1,G71&gt;5),"",CHOOSE(G71,9,6,4,2,1)+2*IF(H71="",0,H71))</x:f>
      </x:c>
      <x:c r="J71" s="63" t="str"/>
    </x:row>
    <x:row r="72">
      <x:c r="A72" s="72" t="n">
        <x:v>2</x:v>
      </x:c>
      <x:c r="B72" s="72" t="str">
        <x:v>A</x:v>
      </x:c>
      <x:c r="C72" s="72" t="n">
        <x:v>3</x:v>
      </x:c>
      <x:c r="D72" s="72" t="n">
        <x:v>58</x:v>
      </x:c>
      <x:c r="E72" s="72" t="str">
        <x:f>IFERROR(IF(VLOOKUP(D72,Giocatori!$A$4:$C$73,2,FALSE)&lt;&gt;"",VLOOKUP(D72,Giocatori!$A$4:$C$73,2,FALSE),"Giocatore "&amp;D72),"Giocatore "&amp;D72)</x:f>
        <x:v>Mauro Salvatore</x:v>
      </x:c>
      <x:c r="F72" s="63" t="str"/>
      <x:c r="G72" s="63" t="str"/>
      <x:c r="H72" s="63" t="n">
        <x:v>0</x:v>
      </x:c>
      <x:c r="I72" s="72" t="str">
        <x:f>IF(OR(G72="",G72&lt;1,G72&gt;5),"",CHOOSE(G72,9,6,4,2,1)+2*IF(H72="",0,H72))</x:f>
      </x:c>
      <x:c r="J72" s="63" t="str"/>
    </x:row>
    <x:row r="73">
      <x:c r="A73" s="72" t="n">
        <x:v>2</x:v>
      </x:c>
      <x:c r="B73" s="72" t="str">
        <x:v>A</x:v>
      </x:c>
      <x:c r="C73" s="72" t="n">
        <x:v>4</x:v>
      </x:c>
      <x:c r="D73" s="72" t="n">
        <x:v>54</x:v>
      </x:c>
      <x:c r="E73" s="72" t="str">
        <x:f>IFERROR(IF(VLOOKUP(D73,Giocatori!$A$4:$C$73,2,FALSE)&lt;&gt;"",VLOOKUP(D73,Giocatori!$A$4:$C$73,2,FALSE),"Giocatore "&amp;D73),"Giocatore "&amp;D73)</x:f>
        <x:v>Giugliano Domenico</x:v>
      </x:c>
      <x:c r="F73" s="63" t="str"/>
      <x:c r="G73" s="63" t="str"/>
      <x:c r="H73" s="63" t="n">
        <x:v>0</x:v>
      </x:c>
      <x:c r="I73" s="72" t="str">
        <x:f>IF(OR(G73="",G73&lt;1,G73&gt;5),"",CHOOSE(G73,9,6,4,2,1)+2*IF(H73="",0,H73))</x:f>
      </x:c>
      <x:c r="J73" s="63" t="str"/>
    </x:row>
    <x:row r="74">
      <x:c r="A74" s="72" t="n">
        <x:v>2</x:v>
      </x:c>
      <x:c r="B74" s="72" t="str">
        <x:v>A</x:v>
      </x:c>
      <x:c r="C74" s="72" t="n">
        <x:v>5</x:v>
      </x:c>
      <x:c r="D74" s="72" t="n">
        <x:v>50</x:v>
      </x:c>
      <x:c r="E74" s="72" t="str">
        <x:f>IFERROR(IF(VLOOKUP(D74,Giocatori!$A$4:$C$73,2,FALSE)&lt;&gt;"",VLOOKUP(D74,Giocatori!$A$4:$C$73,2,FALSE),"Giocatore "&amp;D74),"Giocatore "&amp;D74)</x:f>
        <x:v>Bartolo</x:v>
      </x:c>
      <x:c r="F74" s="63" t="str"/>
      <x:c r="G74" s="63" t="str"/>
      <x:c r="H74" s="63" t="n">
        <x:v>0</x:v>
      </x:c>
      <x:c r="I74" s="72" t="str">
        <x:f>IF(OR(G74="",G74&lt;1,G74&gt;5),"",CHOOSE(G74,9,6,4,2,1)+2*IF(H74="",0,H74))</x:f>
      </x:c>
      <x:c r="J74" s="63" t="str"/>
    </x:row>
    <x:row r="75">
      <x:c r="A75" s="72" t="n">
        <x:v>2</x:v>
      </x:c>
      <x:c r="B75" s="72" t="str">
        <x:v>B</x:v>
      </x:c>
      <x:c r="C75" s="72" t="n">
        <x:v>1</x:v>
      </x:c>
      <x:c r="D75" s="72" t="n">
        <x:v>6</x:v>
      </x:c>
      <x:c r="E75" s="72" t="str">
        <x:f>IFERROR(IF(VLOOKUP(D75,Giocatori!$A$4:$C$73,2,FALSE)&lt;&gt;"",VLOOKUP(D75,Giocatori!$A$4:$C$73,2,FALSE),"Giocatore "&amp;D75),"Giocatore "&amp;D75)</x:f>
        <x:v>Panico Pasquale</x:v>
      </x:c>
      <x:c r="F75" s="63" t="str"/>
      <x:c r="G75" s="63" t="str"/>
      <x:c r="H75" s="63" t="n">
        <x:v>0</x:v>
      </x:c>
      <x:c r="I75" s="72" t="str">
        <x:f>IF(OR(G75="",G75&lt;1,G75&gt;5),"",CHOOSE(G75,9,6,4,2,1)+2*IF(H75="",0,H75))</x:f>
      </x:c>
      <x:c r="J75" s="63" t="str"/>
    </x:row>
    <x:row r="76">
      <x:c r="A76" s="72" t="n">
        <x:v>2</x:v>
      </x:c>
      <x:c r="B76" s="72" t="str">
        <x:v>B</x:v>
      </x:c>
      <x:c r="C76" s="72" t="n">
        <x:v>2</x:v>
      </x:c>
      <x:c r="D76" s="72" t="n">
        <x:v>2</x:v>
      </x:c>
      <x:c r="E76" s="72" t="str">
        <x:f>IFERROR(IF(VLOOKUP(D76,Giocatori!$A$4:$C$73,2,FALSE)&lt;&gt;"",VLOOKUP(D76,Giocatori!$A$4:$C$73,2,FALSE),"Giocatore "&amp;D76),"Giocatore "&amp;D76)</x:f>
        <x:v>La Marca Carlo</x:v>
      </x:c>
      <x:c r="F76" s="63" t="str"/>
      <x:c r="G76" s="63" t="str"/>
      <x:c r="H76" s="63" t="n">
        <x:v>0</x:v>
      </x:c>
      <x:c r="I76" s="72" t="str">
        <x:f>IF(OR(G76="",G76&lt;1,G76&gt;5),"",CHOOSE(G76,9,6,4,2,1)+2*IF(H76="",0,H76))</x:f>
      </x:c>
      <x:c r="J76" s="63" t="str"/>
    </x:row>
    <x:row r="77">
      <x:c r="A77" s="72" t="n">
        <x:v>2</x:v>
      </x:c>
      <x:c r="B77" s="72" t="str">
        <x:v>B</x:v>
      </x:c>
      <x:c r="C77" s="72" t="n">
        <x:v>3</x:v>
      </x:c>
      <x:c r="D77" s="72" t="n">
        <x:v>63</x:v>
      </x:c>
      <x:c r="E77" s="72" t="str">
        <x:f>IFERROR(IF(VLOOKUP(D77,Giocatori!$A$4:$C$73,2,FALSE)&lt;&gt;"",VLOOKUP(D77,Giocatori!$A$4:$C$73,2,FALSE),"Giocatore "&amp;D77),"Giocatore "&amp;D77)</x:f>
        <x:v>Fuschillo Francesco</x:v>
      </x:c>
      <x:c r="F77" s="63" t="str"/>
      <x:c r="G77" s="63" t="str"/>
      <x:c r="H77" s="63" t="n">
        <x:v>0</x:v>
      </x:c>
      <x:c r="I77" s="72" t="str">
        <x:f>IF(OR(G77="",G77&lt;1,G77&gt;5),"",CHOOSE(G77,9,6,4,2,1)+2*IF(H77="",0,H77))</x:f>
      </x:c>
      <x:c r="J77" s="63" t="str"/>
    </x:row>
    <x:row r="78">
      <x:c r="A78" s="72" t="n">
        <x:v>2</x:v>
      </x:c>
      <x:c r="B78" s="72" t="str">
        <x:v>B</x:v>
      </x:c>
      <x:c r="C78" s="72" t="n">
        <x:v>4</x:v>
      </x:c>
      <x:c r="D78" s="72" t="n">
        <x:v>59</x:v>
      </x:c>
      <x:c r="E78" s="72" t="str">
        <x:f>IFERROR(IF(VLOOKUP(D78,Giocatori!$A$4:$C$73,2,FALSE)&lt;&gt;"",VLOOKUP(D78,Giocatori!$A$4:$C$73,2,FALSE),"Giocatore "&amp;D78),"Giocatore "&amp;D78)</x:f>
        <x:v>Angiero Anna</x:v>
      </x:c>
      <x:c r="F78" s="63" t="str"/>
      <x:c r="G78" s="63" t="str"/>
      <x:c r="H78" s="63" t="n">
        <x:v>0</x:v>
      </x:c>
      <x:c r="I78" s="72" t="str">
        <x:f>IF(OR(G78="",G78&lt;1,G78&gt;5),"",CHOOSE(G78,9,6,4,2,1)+2*IF(H78="",0,H78))</x:f>
      </x:c>
      <x:c r="J78" s="63" t="str"/>
    </x:row>
    <x:row r="79">
      <x:c r="A79" s="72" t="n">
        <x:v>2</x:v>
      </x:c>
      <x:c r="B79" s="72" t="str">
        <x:v>B</x:v>
      </x:c>
      <x:c r="C79" s="72" t="n">
        <x:v>5</x:v>
      </x:c>
      <x:c r="D79" s="72" t="n">
        <x:v>55</x:v>
      </x:c>
      <x:c r="E79" s="72" t="str">
        <x:f>IFERROR(IF(VLOOKUP(D79,Giocatori!$A$4:$C$73,2,FALSE)&lt;&gt;"",VLOOKUP(D79,Giocatori!$A$4:$C$73,2,FALSE),"Giocatore "&amp;D79),"Giocatore "&amp;D79)</x:f>
        <x:v>Montanera Raffaele</x:v>
      </x:c>
      <x:c r="F79" s="63" t="str"/>
      <x:c r="G79" s="63" t="str"/>
      <x:c r="H79" s="63" t="n">
        <x:v>0</x:v>
      </x:c>
      <x:c r="I79" s="72" t="str">
        <x:f>IF(OR(G79="",G79&lt;1,G79&gt;5),"",CHOOSE(G79,9,6,4,2,1)+2*IF(H79="",0,H79))</x:f>
      </x:c>
      <x:c r="J79" s="63" t="str"/>
    </x:row>
    <x:row r="80">
      <x:c r="A80" s="72" t="n">
        <x:v>2</x:v>
      </x:c>
      <x:c r="B80" s="72" t="str">
        <x:v>C</x:v>
      </x:c>
      <x:c r="C80" s="72" t="n">
        <x:v>1</x:v>
      </x:c>
      <x:c r="D80" s="72" t="n">
        <x:v>11</x:v>
      </x:c>
      <x:c r="E80" s="72" t="str">
        <x:f>IFERROR(IF(VLOOKUP(D80,Giocatori!$A$4:$C$73,2,FALSE)&lt;&gt;"",VLOOKUP(D80,Giocatori!$A$4:$C$73,2,FALSE),"Giocatore "&amp;D80),"Giocatore "&amp;D80)</x:f>
        <x:v>Notaro Giacomo</x:v>
      </x:c>
      <x:c r="F80" s="63" t="str"/>
      <x:c r="G80" s="63" t="str"/>
      <x:c r="H80" s="63" t="n">
        <x:v>0</x:v>
      </x:c>
      <x:c r="I80" s="72" t="str">
        <x:f>IF(OR(G80="",G80&lt;1,G80&gt;5),"",CHOOSE(G80,9,6,4,2,1)+2*IF(H80="",0,H80))</x:f>
      </x:c>
      <x:c r="J80" s="63" t="str"/>
    </x:row>
    <x:row r="81">
      <x:c r="A81" s="72" t="n">
        <x:v>2</x:v>
      </x:c>
      <x:c r="B81" s="72" t="str">
        <x:v>C</x:v>
      </x:c>
      <x:c r="C81" s="72" t="n">
        <x:v>2</x:v>
      </x:c>
      <x:c r="D81" s="72" t="n">
        <x:v>7</x:v>
      </x:c>
      <x:c r="E81" s="72" t="str">
        <x:f>IFERROR(IF(VLOOKUP(D81,Giocatori!$A$4:$C$73,2,FALSE)&lt;&gt;"",VLOOKUP(D81,Giocatori!$A$4:$C$73,2,FALSE),"Giocatore "&amp;D81),"Giocatore "&amp;D81)</x:f>
        <x:v>Ambrosino Michele</x:v>
      </x:c>
      <x:c r="F81" s="63" t="str"/>
      <x:c r="G81" s="63" t="str"/>
      <x:c r="H81" s="63" t="n">
        <x:v>0</x:v>
      </x:c>
      <x:c r="I81" s="72" t="str">
        <x:f>IF(OR(G81="",G81&lt;1,G81&gt;5),"",CHOOSE(G81,9,6,4,2,1)+2*IF(H81="",0,H81))</x:f>
      </x:c>
      <x:c r="J81" s="63" t="str"/>
    </x:row>
    <x:row r="82">
      <x:c r="A82" s="72" t="n">
        <x:v>2</x:v>
      </x:c>
      <x:c r="B82" s="72" t="str">
        <x:v>C</x:v>
      </x:c>
      <x:c r="C82" s="72" t="n">
        <x:v>3</x:v>
      </x:c>
      <x:c r="D82" s="72" t="n">
        <x:v>3</x:v>
      </x:c>
      <x:c r="E82" s="72" t="str">
        <x:f>IFERROR(IF(VLOOKUP(D82,Giocatori!$A$4:$C$73,2,FALSE)&lt;&gt;"",VLOOKUP(D82,Giocatori!$A$4:$C$73,2,FALSE),"Giocatore "&amp;D82),"Giocatore "&amp;D82)</x:f>
        <x:v>Sommese Antonio</x:v>
      </x:c>
      <x:c r="F82" s="63" t="str"/>
      <x:c r="G82" s="63" t="str"/>
      <x:c r="H82" s="63" t="n">
        <x:v>0</x:v>
      </x:c>
      <x:c r="I82" s="72" t="str">
        <x:f>IF(OR(G82="",G82&lt;1,G82&gt;5),"",CHOOSE(G82,9,6,4,2,1)+2*IF(H82="",0,H82))</x:f>
      </x:c>
      <x:c r="J82" s="63" t="str"/>
    </x:row>
    <x:row r="83">
      <x:c r="A83" s="72" t="n">
        <x:v>2</x:v>
      </x:c>
      <x:c r="B83" s="72" t="str">
        <x:v>C</x:v>
      </x:c>
      <x:c r="C83" s="72" t="n">
        <x:v>4</x:v>
      </x:c>
      <x:c r="D83" s="72" t="n">
        <x:v>64</x:v>
      </x:c>
      <x:c r="E83" s="72" t="str">
        <x:f>IFERROR(IF(VLOOKUP(D83,Giocatori!$A$4:$C$73,2,FALSE)&lt;&gt;"",VLOOKUP(D83,Giocatori!$A$4:$C$73,2,FALSE),"Giocatore "&amp;D83),"Giocatore "&amp;D83)</x:f>
        <x:v>Tufano Michele 2</x:v>
      </x:c>
      <x:c r="F83" s="63" t="str"/>
      <x:c r="G83" s="63" t="str"/>
      <x:c r="H83" s="63" t="n">
        <x:v>0</x:v>
      </x:c>
      <x:c r="I83" s="72" t="str">
        <x:f>IF(OR(G83="",G83&lt;1,G83&gt;5),"",CHOOSE(G83,9,6,4,2,1)+2*IF(H83="",0,H83))</x:f>
      </x:c>
      <x:c r="J83" s="63" t="str"/>
    </x:row>
    <x:row r="84">
      <x:c r="A84" s="72" t="n">
        <x:v>2</x:v>
      </x:c>
      <x:c r="B84" s="72" t="str">
        <x:v>C</x:v>
      </x:c>
      <x:c r="C84" s="72" t="n">
        <x:v>5</x:v>
      </x:c>
      <x:c r="D84" s="72" t="n">
        <x:v>60</x:v>
      </x:c>
      <x:c r="E84" s="72" t="str">
        <x:f>IFERROR(IF(VLOOKUP(D84,Giocatori!$A$4:$C$73,2,FALSE)&lt;&gt;"",VLOOKUP(D84,Giocatori!$A$4:$C$73,2,FALSE),"Giocatore "&amp;D84),"Giocatore "&amp;D84)</x:f>
        <x:v>Di Grazia Salvatore</x:v>
      </x:c>
      <x:c r="F84" s="63" t="str"/>
      <x:c r="G84" s="63" t="str"/>
      <x:c r="H84" s="63" t="n">
        <x:v>0</x:v>
      </x:c>
      <x:c r="I84" s="72" t="str">
        <x:f>IF(OR(G84="",G84&lt;1,G84&gt;5),"",CHOOSE(G84,9,6,4,2,1)+2*IF(H84="",0,H84))</x:f>
      </x:c>
      <x:c r="J84" s="63" t="str"/>
    </x:row>
    <x:row r="85">
      <x:c r="A85" s="72" t="n">
        <x:v>2</x:v>
      </x:c>
      <x:c r="B85" s="72" t="str">
        <x:v>D</x:v>
      </x:c>
      <x:c r="C85" s="72" t="n">
        <x:v>1</x:v>
      </x:c>
      <x:c r="D85" s="72" t="n">
        <x:v>16</x:v>
      </x:c>
      <x:c r="E85" s="72" t="str">
        <x:f>IFERROR(IF(VLOOKUP(D85,Giocatori!$A$4:$C$73,2,FALSE)&lt;&gt;"",VLOOKUP(D85,Giocatori!$A$4:$C$73,2,FALSE),"Giocatore "&amp;D85),"Giocatore "&amp;D85)</x:f>
        <x:v>Beracci Benedetto</x:v>
      </x:c>
      <x:c r="F85" s="63" t="str"/>
      <x:c r="G85" s="63" t="str"/>
      <x:c r="H85" s="63" t="n">
        <x:v>0</x:v>
      </x:c>
      <x:c r="I85" s="72" t="str">
        <x:f>IF(OR(G85="",G85&lt;1,G85&gt;5),"",CHOOSE(G85,9,6,4,2,1)+2*IF(H85="",0,H85))</x:f>
      </x:c>
      <x:c r="J85" s="63" t="str"/>
    </x:row>
    <x:row r="86">
      <x:c r="A86" s="72" t="n">
        <x:v>2</x:v>
      </x:c>
      <x:c r="B86" s="72" t="str">
        <x:v>D</x:v>
      </x:c>
      <x:c r="C86" s="72" t="n">
        <x:v>2</x:v>
      </x:c>
      <x:c r="D86" s="72" t="n">
        <x:v>12</x:v>
      </x:c>
      <x:c r="E86" s="72" t="str">
        <x:f>IFERROR(IF(VLOOKUP(D86,Giocatori!$A$4:$C$73,2,FALSE)&lt;&gt;"",VLOOKUP(D86,Giocatori!$A$4:$C$73,2,FALSE),"Giocatore "&amp;D86),"Giocatore "&amp;D86)</x:f>
        <x:v>Scognamiglio Alfredo</x:v>
      </x:c>
      <x:c r="F86" s="63" t="str"/>
      <x:c r="G86" s="63" t="str"/>
      <x:c r="H86" s="63" t="n">
        <x:v>0</x:v>
      </x:c>
      <x:c r="I86" s="72" t="str">
        <x:f>IF(OR(G86="",G86&lt;1,G86&gt;5),"",CHOOSE(G86,9,6,4,2,1)+2*IF(H86="",0,H86))</x:f>
      </x:c>
      <x:c r="J86" s="63" t="str"/>
    </x:row>
    <x:row r="87">
      <x:c r="A87" s="72" t="n">
        <x:v>2</x:v>
      </x:c>
      <x:c r="B87" s="72" t="str">
        <x:v>D</x:v>
      </x:c>
      <x:c r="C87" s="72" t="n">
        <x:v>3</x:v>
      </x:c>
      <x:c r="D87" s="72" t="n">
        <x:v>8</x:v>
      </x:c>
      <x:c r="E87" s="72" t="str">
        <x:f>IFERROR(IF(VLOOKUP(D87,Giocatori!$A$4:$C$73,2,FALSE)&lt;&gt;"",VLOOKUP(D87,Giocatori!$A$4:$C$73,2,FALSE),"Giocatore "&amp;D87),"Giocatore "&amp;D87)</x:f>
        <x:v>Ambrosino Raffaele</x:v>
      </x:c>
      <x:c r="F87" s="63" t="str"/>
      <x:c r="G87" s="63" t="str"/>
      <x:c r="H87" s="63" t="n">
        <x:v>0</x:v>
      </x:c>
      <x:c r="I87" s="72" t="str">
        <x:f>IF(OR(G87="",G87&lt;1,G87&gt;5),"",CHOOSE(G87,9,6,4,2,1)+2*IF(H87="",0,H87))</x:f>
      </x:c>
      <x:c r="J87" s="63" t="str"/>
    </x:row>
    <x:row r="88">
      <x:c r="A88" s="72" t="n">
        <x:v>2</x:v>
      </x:c>
      <x:c r="B88" s="72" t="str">
        <x:v>D</x:v>
      </x:c>
      <x:c r="C88" s="72" t="n">
        <x:v>4</x:v>
      </x:c>
      <x:c r="D88" s="72" t="n">
        <x:v>4</x:v>
      </x:c>
      <x:c r="E88" s="72" t="str">
        <x:f>IFERROR(IF(VLOOKUP(D88,Giocatori!$A$4:$C$73,2,FALSE)&lt;&gt;"",VLOOKUP(D88,Giocatori!$A$4:$C$73,2,FALSE),"Giocatore "&amp;D88),"Giocatore "&amp;D88)</x:f>
        <x:v>Annunziata Raffaele</x:v>
      </x:c>
      <x:c r="F88" s="63" t="str"/>
      <x:c r="G88" s="63" t="str"/>
      <x:c r="H88" s="63" t="n">
        <x:v>0</x:v>
      </x:c>
      <x:c r="I88" s="72" t="str">
        <x:f>IF(OR(G88="",G88&lt;1,G88&gt;5),"",CHOOSE(G88,9,6,4,2,1)+2*IF(H88="",0,H88))</x:f>
      </x:c>
      <x:c r="J88" s="63" t="str"/>
    </x:row>
    <x:row r="89">
      <x:c r="A89" s="72" t="n">
        <x:v>2</x:v>
      </x:c>
      <x:c r="B89" s="72" t="str">
        <x:v>D</x:v>
      </x:c>
      <x:c r="C89" s="72" t="n">
        <x:v>5</x:v>
      </x:c>
      <x:c r="D89" s="72" t="n">
        <x:v>65</x:v>
      </x:c>
      <x:c r="E89" s="72" t="str">
        <x:f>IFERROR(IF(VLOOKUP(D89,Giocatori!$A$4:$C$73,2,FALSE)&lt;&gt;"",VLOOKUP(D89,Giocatori!$A$4:$C$73,2,FALSE),"Giocatore "&amp;D89),"Giocatore "&amp;D89)</x:f>
        <x:v>Tufano Michele 3</x:v>
      </x:c>
      <x:c r="F89" s="63" t="str"/>
      <x:c r="G89" s="63" t="str"/>
      <x:c r="H89" s="63" t="n">
        <x:v>0</x:v>
      </x:c>
      <x:c r="I89" s="72" t="str">
        <x:f>IF(OR(G89="",G89&lt;1,G89&gt;5),"",CHOOSE(G89,9,6,4,2,1)+2*IF(H89="",0,H89))</x:f>
      </x:c>
      <x:c r="J89" s="63" t="str"/>
    </x:row>
    <x:row r="90">
      <x:c r="A90" s="72" t="n">
        <x:v>2</x:v>
      </x:c>
      <x:c r="B90" s="72" t="str">
        <x:v>E</x:v>
      </x:c>
      <x:c r="C90" s="72" t="n">
        <x:v>1</x:v>
      </x:c>
      <x:c r="D90" s="72" t="n">
        <x:v>21</x:v>
      </x:c>
      <x:c r="E90" s="72" t="str">
        <x:f>IFERROR(IF(VLOOKUP(D90,Giocatori!$A$4:$C$73,2,FALSE)&lt;&gt;"",VLOOKUP(D90,Giocatori!$A$4:$C$73,2,FALSE),"Giocatore "&amp;D90),"Giocatore "&amp;D90)</x:f>
        <x:v>Tufano Raffaele</x:v>
      </x:c>
      <x:c r="F90" s="63" t="str"/>
      <x:c r="G90" s="63" t="str"/>
      <x:c r="H90" s="63" t="n">
        <x:v>0</x:v>
      </x:c>
      <x:c r="I90" s="72" t="str">
        <x:f>IF(OR(G90="",G90&lt;1,G90&gt;5),"",CHOOSE(G90,9,6,4,2,1)+2*IF(H90="",0,H90))</x:f>
      </x:c>
      <x:c r="J90" s="63" t="str"/>
    </x:row>
    <x:row r="91">
      <x:c r="A91" s="72" t="n">
        <x:v>2</x:v>
      </x:c>
      <x:c r="B91" s="72" t="str">
        <x:v>E</x:v>
      </x:c>
      <x:c r="C91" s="72" t="n">
        <x:v>2</x:v>
      </x:c>
      <x:c r="D91" s="72" t="n">
        <x:v>17</x:v>
      </x:c>
      <x:c r="E91" s="72" t="str">
        <x:f>IFERROR(IF(VLOOKUP(D91,Giocatori!$A$4:$C$73,2,FALSE)&lt;&gt;"",VLOOKUP(D91,Giocatori!$A$4:$C$73,2,FALSE),"Giocatore "&amp;D91),"Giocatore "&amp;D91)</x:f>
        <x:v>Tufano Giovanni</x:v>
      </x:c>
      <x:c r="F91" s="63" t="str"/>
      <x:c r="G91" s="63" t="str"/>
      <x:c r="H91" s="63" t="n">
        <x:v>0</x:v>
      </x:c>
      <x:c r="I91" s="72" t="str">
        <x:f>IF(OR(G91="",G91&lt;1,G91&gt;5),"",CHOOSE(G91,9,6,4,2,1)+2*IF(H91="",0,H91))</x:f>
      </x:c>
      <x:c r="J91" s="63" t="str"/>
    </x:row>
    <x:row r="92">
      <x:c r="A92" s="72" t="n">
        <x:v>2</x:v>
      </x:c>
      <x:c r="B92" s="72" t="str">
        <x:v>E</x:v>
      </x:c>
      <x:c r="C92" s="72" t="n">
        <x:v>3</x:v>
      </x:c>
      <x:c r="D92" s="72" t="n">
        <x:v>13</x:v>
      </x:c>
      <x:c r="E92" s="72" t="str">
        <x:f>IFERROR(IF(VLOOKUP(D92,Giocatori!$A$4:$C$73,2,FALSE)&lt;&gt;"",VLOOKUP(D92,Giocatori!$A$4:$C$73,2,FALSE),"Giocatore "&amp;D92),"Giocatore "&amp;D92)</x:f>
        <x:v>Del Vecchio Diego</x:v>
      </x:c>
      <x:c r="F92" s="63" t="str"/>
      <x:c r="G92" s="63" t="str"/>
      <x:c r="H92" s="63" t="n">
        <x:v>0</x:v>
      </x:c>
      <x:c r="I92" s="72" t="str">
        <x:f>IF(OR(G92="",G92&lt;1,G92&gt;5),"",CHOOSE(G92,9,6,4,2,1)+2*IF(H92="",0,H92))</x:f>
      </x:c>
      <x:c r="J92" s="63" t="str"/>
    </x:row>
    <x:row r="93">
      <x:c r="A93" s="72" t="n">
        <x:v>2</x:v>
      </x:c>
      <x:c r="B93" s="72" t="str">
        <x:v>E</x:v>
      </x:c>
      <x:c r="C93" s="72" t="n">
        <x:v>4</x:v>
      </x:c>
      <x:c r="D93" s="72" t="n">
        <x:v>9</x:v>
      </x:c>
      <x:c r="E93" s="72" t="str">
        <x:f>IFERROR(IF(VLOOKUP(D93,Giocatori!$A$4:$C$73,2,FALSE)&lt;&gt;"",VLOOKUP(D93,Giocatori!$A$4:$C$73,2,FALSE),"Giocatore "&amp;D93),"Giocatore "&amp;D93)</x:f>
        <x:v>Nappo Angelo</x:v>
      </x:c>
      <x:c r="F93" s="63" t="str"/>
      <x:c r="G93" s="63" t="str"/>
      <x:c r="H93" s="63" t="n">
        <x:v>0</x:v>
      </x:c>
      <x:c r="I93" s="72" t="str">
        <x:f>IF(OR(G93="",G93&lt;1,G93&gt;5),"",CHOOSE(G93,9,6,4,2,1)+2*IF(H93="",0,H93))</x:f>
      </x:c>
      <x:c r="J93" s="63" t="str"/>
    </x:row>
    <x:row r="94">
      <x:c r="A94" s="72" t="n">
        <x:v>2</x:v>
      </x:c>
      <x:c r="B94" s="72" t="str">
        <x:v>E</x:v>
      </x:c>
      <x:c r="C94" s="72" t="n">
        <x:v>5</x:v>
      </x:c>
      <x:c r="D94" s="72" t="n">
        <x:v>5</x:v>
      </x:c>
      <x:c r="E94" s="72" t="str">
        <x:f>IFERROR(IF(VLOOKUP(D94,Giocatori!$A$4:$C$73,2,FALSE)&lt;&gt;"",VLOOKUP(D94,Giocatori!$A$4:$C$73,2,FALSE),"Giocatore "&amp;D94),"Giocatore "&amp;D94)</x:f>
        <x:v>La Marca Pasquale</x:v>
      </x:c>
      <x:c r="F94" s="63" t="str"/>
      <x:c r="G94" s="63" t="str"/>
      <x:c r="H94" s="63" t="n">
        <x:v>0</x:v>
      </x:c>
      <x:c r="I94" s="72" t="str">
        <x:f>IF(OR(G94="",G94&lt;1,G94&gt;5),"",CHOOSE(G94,9,6,4,2,1)+2*IF(H94="",0,H94))</x:f>
      </x:c>
      <x:c r="J94" s="63" t="str"/>
    </x:row>
    <x:row r="95">
      <x:c r="A95" s="72" t="n">
        <x:v>2</x:v>
      </x:c>
      <x:c r="B95" s="72" t="str">
        <x:v>F</x:v>
      </x:c>
      <x:c r="C95" s="72" t="n">
        <x:v>1</x:v>
      </x:c>
      <x:c r="D95" s="72" t="n">
        <x:v>26</x:v>
      </x:c>
      <x:c r="E95" s="72" t="str">
        <x:f>IFERROR(IF(VLOOKUP(D95,Giocatori!$A$4:$C$73,2,FALSE)&lt;&gt;"",VLOOKUP(D95,Giocatori!$A$4:$C$73,2,FALSE),"Giocatore "&amp;D95),"Giocatore "&amp;D95)</x:f>
        <x:v>Gesso Marco</x:v>
      </x:c>
      <x:c r="F95" s="63" t="str"/>
      <x:c r="G95" s="63" t="str"/>
      <x:c r="H95" s="63" t="n">
        <x:v>0</x:v>
      </x:c>
      <x:c r="I95" s="72" t="str">
        <x:f>IF(OR(G95="",G95&lt;1,G95&gt;5),"",CHOOSE(G95,9,6,4,2,1)+2*IF(H95="",0,H95))</x:f>
      </x:c>
      <x:c r="J95" s="63" t="str"/>
    </x:row>
    <x:row r="96">
      <x:c r="A96" s="72" t="n">
        <x:v>2</x:v>
      </x:c>
      <x:c r="B96" s="72" t="str">
        <x:v>F</x:v>
      </x:c>
      <x:c r="C96" s="72" t="n">
        <x:v>2</x:v>
      </x:c>
      <x:c r="D96" s="72" t="n">
        <x:v>22</x:v>
      </x:c>
      <x:c r="E96" s="72" t="str">
        <x:f>IFERROR(IF(VLOOKUP(D96,Giocatori!$A$4:$C$73,2,FALSE)&lt;&gt;"",VLOOKUP(D96,Giocatori!$A$4:$C$73,2,FALSE),"Giocatore "&amp;D96),"Giocatore "&amp;D96)</x:f>
        <x:v>Napolitano Antonio</x:v>
      </x:c>
      <x:c r="F96" s="63" t="str"/>
      <x:c r="G96" s="63" t="str"/>
      <x:c r="H96" s="63" t="n">
        <x:v>0</x:v>
      </x:c>
      <x:c r="I96" s="72" t="str">
        <x:f>IF(OR(G96="",G96&lt;1,G96&gt;5),"",CHOOSE(G96,9,6,4,2,1)+2*IF(H96="",0,H96))</x:f>
      </x:c>
      <x:c r="J96" s="63" t="str"/>
    </x:row>
    <x:row r="97">
      <x:c r="A97" s="72" t="n">
        <x:v>2</x:v>
      </x:c>
      <x:c r="B97" s="72" t="str">
        <x:v>F</x:v>
      </x:c>
      <x:c r="C97" s="72" t="n">
        <x:v>3</x:v>
      </x:c>
      <x:c r="D97" s="72" t="n">
        <x:v>18</x:v>
      </x:c>
      <x:c r="E97" s="72" t="str">
        <x:f>IFERROR(IF(VLOOKUP(D97,Giocatori!$A$4:$C$73,2,FALSE)&lt;&gt;"",VLOOKUP(D97,Giocatori!$A$4:$C$73,2,FALSE),"Giocatore "&amp;D97),"Giocatore "&amp;D97)</x:f>
        <x:v>Ambrosino Gabriele</x:v>
      </x:c>
      <x:c r="F97" s="63" t="str"/>
      <x:c r="G97" s="63" t="str"/>
      <x:c r="H97" s="63" t="n">
        <x:v>0</x:v>
      </x:c>
      <x:c r="I97" s="72" t="str">
        <x:f>IF(OR(G97="",G97&lt;1,G97&gt;5),"",CHOOSE(G97,9,6,4,2,1)+2*IF(H97="",0,H97))</x:f>
      </x:c>
      <x:c r="J97" s="63" t="str"/>
    </x:row>
    <x:row r="98">
      <x:c r="A98" s="72" t="n">
        <x:v>2</x:v>
      </x:c>
      <x:c r="B98" s="72" t="str">
        <x:v>F</x:v>
      </x:c>
      <x:c r="C98" s="72" t="n">
        <x:v>4</x:v>
      </x:c>
      <x:c r="D98" s="72" t="n">
        <x:v>14</x:v>
      </x:c>
      <x:c r="E98" s="72" t="str">
        <x:f>IFERROR(IF(VLOOKUP(D98,Giocatori!$A$4:$C$73,2,FALSE)&lt;&gt;"",VLOOKUP(D98,Giocatori!$A$4:$C$73,2,FALSE),"Giocatore "&amp;D98),"Giocatore "&amp;D98)</x:f>
        <x:v>Beracci Lucio</x:v>
      </x:c>
      <x:c r="F98" s="63" t="str"/>
      <x:c r="G98" s="63" t="str"/>
      <x:c r="H98" s="63" t="n">
        <x:v>0</x:v>
      </x:c>
      <x:c r="I98" s="72" t="str">
        <x:f>IF(OR(G98="",G98&lt;1,G98&gt;5),"",CHOOSE(G98,9,6,4,2,1)+2*IF(H98="",0,H98))</x:f>
      </x:c>
      <x:c r="J98" s="63" t="str"/>
    </x:row>
    <x:row r="99">
      <x:c r="A99" s="72" t="n">
        <x:v>2</x:v>
      </x:c>
      <x:c r="B99" s="72" t="str">
        <x:v>F</x:v>
      </x:c>
      <x:c r="C99" s="72" t="n">
        <x:v>5</x:v>
      </x:c>
      <x:c r="D99" s="72" t="n">
        <x:v>10</x:v>
      </x:c>
      <x:c r="E99" s="72" t="str">
        <x:f>IFERROR(IF(VLOOKUP(D99,Giocatori!$A$4:$C$73,2,FALSE)&lt;&gt;"",VLOOKUP(D99,Giocatori!$A$4:$C$73,2,FALSE),"Giocatore "&amp;D99),"Giocatore "&amp;D99)</x:f>
        <x:v>Cavallaro Erasmo</x:v>
      </x:c>
      <x:c r="F99" s="63" t="str"/>
      <x:c r="G99" s="63" t="str"/>
      <x:c r="H99" s="63" t="n">
        <x:v>0</x:v>
      </x:c>
      <x:c r="I99" s="72" t="str">
        <x:f>IF(OR(G99="",G99&lt;1,G99&gt;5),"",CHOOSE(G99,9,6,4,2,1)+2*IF(H99="",0,H99))</x:f>
      </x:c>
      <x:c r="J99" s="63" t="str"/>
    </x:row>
    <x:row r="100">
      <x:c r="A100" s="72" t="n">
        <x:v>2</x:v>
      </x:c>
      <x:c r="B100" s="72" t="str">
        <x:v>G</x:v>
      </x:c>
      <x:c r="C100" s="72" t="n">
        <x:v>1</x:v>
      </x:c>
      <x:c r="D100" s="72" t="n">
        <x:v>31</x:v>
      </x:c>
      <x:c r="E100" s="72" t="str">
        <x:f>IFERROR(IF(VLOOKUP(D100,Giocatori!$A$4:$C$73,2,FALSE)&lt;&gt;"",VLOOKUP(D100,Giocatori!$A$4:$C$73,2,FALSE),"Giocatore "&amp;D100),"Giocatore "&amp;D100)</x:f>
        <x:v>Polacco Tommaso</x:v>
      </x:c>
      <x:c r="F100" s="63" t="str"/>
      <x:c r="G100" s="63" t="str"/>
      <x:c r="H100" s="63" t="n">
        <x:v>0</x:v>
      </x:c>
      <x:c r="I100" s="72" t="str">
        <x:f>IF(OR(G100="",G100&lt;1,G100&gt;5),"",CHOOSE(G100,9,6,4,2,1)+2*IF(H100="",0,H100))</x:f>
      </x:c>
      <x:c r="J100" s="63" t="str"/>
    </x:row>
    <x:row r="101">
      <x:c r="A101" s="72" t="n">
        <x:v>2</x:v>
      </x:c>
      <x:c r="B101" s="72" t="str">
        <x:v>G</x:v>
      </x:c>
      <x:c r="C101" s="72" t="n">
        <x:v>2</x:v>
      </x:c>
      <x:c r="D101" s="72" t="n">
        <x:v>27</x:v>
      </x:c>
      <x:c r="E101" s="72" t="str">
        <x:f>IFERROR(IF(VLOOKUP(D101,Giocatori!$A$4:$C$73,2,FALSE)&lt;&gt;"",VLOOKUP(D101,Giocatori!$A$4:$C$73,2,FALSE),"Giocatore "&amp;D101),"Giocatore "&amp;D101)</x:f>
        <x:v>Napolitano Angelo</x:v>
      </x:c>
      <x:c r="F101" s="63" t="str"/>
      <x:c r="G101" s="63" t="str"/>
      <x:c r="H101" s="63" t="n">
        <x:v>0</x:v>
      </x:c>
      <x:c r="I101" s="72" t="str">
        <x:f>IF(OR(G101="",G101&lt;1,G101&gt;5),"",CHOOSE(G101,9,6,4,2,1)+2*IF(H101="",0,H101))</x:f>
      </x:c>
      <x:c r="J101" s="63" t="str"/>
    </x:row>
    <x:row r="102">
      <x:c r="A102" s="72" t="n">
        <x:v>2</x:v>
      </x:c>
      <x:c r="B102" s="72" t="str">
        <x:v>G</x:v>
      </x:c>
      <x:c r="C102" s="72" t="n">
        <x:v>3</x:v>
      </x:c>
      <x:c r="D102" s="72" t="n">
        <x:v>23</x:v>
      </x:c>
      <x:c r="E102" s="72" t="str">
        <x:f>IFERROR(IF(VLOOKUP(D102,Giocatori!$A$4:$C$73,2,FALSE)&lt;&gt;"",VLOOKUP(D102,Giocatori!$A$4:$C$73,2,FALSE),"Giocatore "&amp;D102),"Giocatore "&amp;D102)</x:f>
        <x:v>Notaro Massimo</x:v>
      </x:c>
      <x:c r="F102" s="63" t="str"/>
      <x:c r="G102" s="63" t="str"/>
      <x:c r="H102" s="63" t="n">
        <x:v>0</x:v>
      </x:c>
      <x:c r="I102" s="72" t="str">
        <x:f>IF(OR(G102="",G102&lt;1,G102&gt;5),"",CHOOSE(G102,9,6,4,2,1)+2*IF(H102="",0,H102))</x:f>
      </x:c>
      <x:c r="J102" s="63" t="str"/>
    </x:row>
    <x:row r="103">
      <x:c r="A103" s="72" t="n">
        <x:v>2</x:v>
      </x:c>
      <x:c r="B103" s="72" t="str">
        <x:v>G</x:v>
      </x:c>
      <x:c r="C103" s="72" t="n">
        <x:v>4</x:v>
      </x:c>
      <x:c r="D103" s="72" t="n">
        <x:v>19</x:v>
      </x:c>
      <x:c r="E103" s="72" t="str">
        <x:f>IFERROR(IF(VLOOKUP(D103,Giocatori!$A$4:$C$73,2,FALSE)&lt;&gt;"",VLOOKUP(D103,Giocatori!$A$4:$C$73,2,FALSE),"Giocatore "&amp;D103),"Giocatore "&amp;D103)</x:f>
        <x:v>Strocchia Franco</x:v>
      </x:c>
      <x:c r="F103" s="63" t="str"/>
      <x:c r="G103" s="63" t="str"/>
      <x:c r="H103" s="63" t="n">
        <x:v>0</x:v>
      </x:c>
      <x:c r="I103" s="72" t="str">
        <x:f>IF(OR(G103="",G103&lt;1,G103&gt;5),"",CHOOSE(G103,9,6,4,2,1)+2*IF(H103="",0,H103))</x:f>
      </x:c>
      <x:c r="J103" s="63" t="str"/>
    </x:row>
    <x:row r="104">
      <x:c r="A104" s="72" t="n">
        <x:v>2</x:v>
      </x:c>
      <x:c r="B104" s="72" t="str">
        <x:v>G</x:v>
      </x:c>
      <x:c r="C104" s="72" t="n">
        <x:v>5</x:v>
      </x:c>
      <x:c r="D104" s="72" t="n">
        <x:v>15</x:v>
      </x:c>
      <x:c r="E104" s="72" t="str">
        <x:f>IFERROR(IF(VLOOKUP(D104,Giocatori!$A$4:$C$73,2,FALSE)&lt;&gt;"",VLOOKUP(D104,Giocatori!$A$4:$C$73,2,FALSE),"Giocatore "&amp;D104),"Giocatore "&amp;D104)</x:f>
        <x:v>De Falco Andrea</x:v>
      </x:c>
      <x:c r="F104" s="63" t="str"/>
      <x:c r="G104" s="63" t="str"/>
      <x:c r="H104" s="63" t="n">
        <x:v>0</x:v>
      </x:c>
      <x:c r="I104" s="72" t="str">
        <x:f>IF(OR(G104="",G104&lt;1,G104&gt;5),"",CHOOSE(G104,9,6,4,2,1)+2*IF(H104="",0,H104))</x:f>
      </x:c>
      <x:c r="J104" s="63" t="str"/>
    </x:row>
    <x:row r="105">
      <x:c r="A105" s="72" t="n">
        <x:v>2</x:v>
      </x:c>
      <x:c r="B105" s="72" t="str">
        <x:v>H</x:v>
      </x:c>
      <x:c r="C105" s="72" t="n">
        <x:v>1</x:v>
      </x:c>
      <x:c r="D105" s="72" t="n">
        <x:v>36</x:v>
      </x:c>
      <x:c r="E105" s="72" t="str">
        <x:f>IFERROR(IF(VLOOKUP(D105,Giocatori!$A$4:$C$73,2,FALSE)&lt;&gt;"",VLOOKUP(D105,Giocatori!$A$4:$C$73,2,FALSE),"Giocatore "&amp;D105),"Giocatore "&amp;D105)</x:f>
        <x:v>Moccia Biagio</x:v>
      </x:c>
      <x:c r="F105" s="63" t="str"/>
      <x:c r="G105" s="63" t="str"/>
      <x:c r="H105" s="63" t="n">
        <x:v>0</x:v>
      </x:c>
      <x:c r="I105" s="72" t="str">
        <x:f>IF(OR(G105="",G105&lt;1,G105&gt;5),"",CHOOSE(G105,9,6,4,2,1)+2*IF(H105="",0,H105))</x:f>
      </x:c>
      <x:c r="J105" s="63" t="str"/>
    </x:row>
    <x:row r="106">
      <x:c r="A106" s="72" t="n">
        <x:v>2</x:v>
      </x:c>
      <x:c r="B106" s="72" t="str">
        <x:v>H</x:v>
      </x:c>
      <x:c r="C106" s="72" t="n">
        <x:v>2</x:v>
      </x:c>
      <x:c r="D106" s="72" t="n">
        <x:v>32</x:v>
      </x:c>
      <x:c r="E106" s="72" t="str">
        <x:f>IFERROR(IF(VLOOKUP(D106,Giocatori!$A$4:$C$73,2,FALSE)&lt;&gt;"",VLOOKUP(D106,Giocatori!$A$4:$C$73,2,FALSE),"Giocatore "&amp;D106),"Giocatore "&amp;D106)</x:f>
        <x:v>Marotta Pasquale</x:v>
      </x:c>
      <x:c r="F106" s="63" t="str"/>
      <x:c r="G106" s="63" t="str"/>
      <x:c r="H106" s="63" t="n">
        <x:v>0</x:v>
      </x:c>
      <x:c r="I106" s="72" t="str">
        <x:f>IF(OR(G106="",G106&lt;1,G106&gt;5),"",CHOOSE(G106,9,6,4,2,1)+2*IF(H106="",0,H106))</x:f>
      </x:c>
      <x:c r="J106" s="63" t="str"/>
    </x:row>
    <x:row r="107">
      <x:c r="A107" s="72" t="n">
        <x:v>2</x:v>
      </x:c>
      <x:c r="B107" s="72" t="str">
        <x:v>H</x:v>
      </x:c>
      <x:c r="C107" s="72" t="n">
        <x:v>3</x:v>
      </x:c>
      <x:c r="D107" s="72" t="n">
        <x:v>28</x:v>
      </x:c>
      <x:c r="E107" s="72" t="str">
        <x:f>IFERROR(IF(VLOOKUP(D107,Giocatori!$A$4:$C$73,2,FALSE)&lt;&gt;"",VLOOKUP(D107,Giocatori!$A$4:$C$73,2,FALSE),"Giocatore "&amp;D107),"Giocatore "&amp;D107)</x:f>
        <x:v>Fontanella Carmine</x:v>
      </x:c>
      <x:c r="F107" s="63" t="str"/>
      <x:c r="G107" s="63" t="str"/>
      <x:c r="H107" s="63" t="n">
        <x:v>0</x:v>
      </x:c>
      <x:c r="I107" s="72" t="str">
        <x:f>IF(OR(G107="",G107&lt;1,G107&gt;5),"",CHOOSE(G107,9,6,4,2,1)+2*IF(H107="",0,H107))</x:f>
      </x:c>
      <x:c r="J107" s="63" t="str"/>
    </x:row>
    <x:row r="108">
      <x:c r="A108" s="72" t="n">
        <x:v>2</x:v>
      </x:c>
      <x:c r="B108" s="72" t="str">
        <x:v>H</x:v>
      </x:c>
      <x:c r="C108" s="72" t="n">
        <x:v>4</x:v>
      </x:c>
      <x:c r="D108" s="72" t="n">
        <x:v>24</x:v>
      </x:c>
      <x:c r="E108" s="72" t="str">
        <x:f>IFERROR(IF(VLOOKUP(D108,Giocatori!$A$4:$C$73,2,FALSE)&lt;&gt;"",VLOOKUP(D108,Giocatori!$A$4:$C$73,2,FALSE),"Giocatore "&amp;D108),"Giocatore "&amp;D108)</x:f>
        <x:v>Pierro Giuseppe</x:v>
      </x:c>
      <x:c r="F108" s="63" t="str"/>
      <x:c r="G108" s="63" t="str"/>
      <x:c r="H108" s="63" t="n">
        <x:v>0</x:v>
      </x:c>
      <x:c r="I108" s="72" t="str">
        <x:f>IF(OR(G108="",G108&lt;1,G108&gt;5),"",CHOOSE(G108,9,6,4,2,1)+2*IF(H108="",0,H108))</x:f>
      </x:c>
      <x:c r="J108" s="63" t="str"/>
    </x:row>
    <x:row r="109">
      <x:c r="A109" s="72" t="n">
        <x:v>2</x:v>
      </x:c>
      <x:c r="B109" s="72" t="str">
        <x:v>H</x:v>
      </x:c>
      <x:c r="C109" s="72" t="n">
        <x:v>5</x:v>
      </x:c>
      <x:c r="D109" s="72" t="n">
        <x:v>20</x:v>
      </x:c>
      <x:c r="E109" s="72" t="str">
        <x:f>IFERROR(IF(VLOOKUP(D109,Giocatori!$A$4:$C$73,2,FALSE)&lt;&gt;"",VLOOKUP(D109,Giocatori!$A$4:$C$73,2,FALSE),"Giocatore "&amp;D109),"Giocatore "&amp;D109)</x:f>
        <x:v>Morelli Carmine</x:v>
      </x:c>
      <x:c r="F109" s="63" t="str"/>
      <x:c r="G109" s="63" t="str"/>
      <x:c r="H109" s="63" t="n">
        <x:v>0</x:v>
      </x:c>
      <x:c r="I109" s="72" t="str">
        <x:f>IF(OR(G109="",G109&lt;1,G109&gt;5),"",CHOOSE(G109,9,6,4,2,1)+2*IF(H109="",0,H109))</x:f>
      </x:c>
      <x:c r="J109" s="63" t="str"/>
    </x:row>
    <x:row r="110">
      <x:c r="A110" s="72" t="n">
        <x:v>2</x:v>
      </x:c>
      <x:c r="B110" s="72" t="str">
        <x:v>I</x:v>
      </x:c>
      <x:c r="C110" s="72" t="n">
        <x:v>1</x:v>
      </x:c>
      <x:c r="D110" s="72" t="n">
        <x:v>41</x:v>
      </x:c>
      <x:c r="E110" s="72" t="str">
        <x:f>IFERROR(IF(VLOOKUP(D110,Giocatori!$A$4:$C$73,2,FALSE)&lt;&gt;"",VLOOKUP(D110,Giocatori!$A$4:$C$73,2,FALSE),"Giocatore "&amp;D110),"Giocatore "&amp;D110)</x:f>
        <x:v>Nocerino Nunzio</x:v>
      </x:c>
      <x:c r="F110" s="63" t="str"/>
      <x:c r="G110" s="63" t="str"/>
      <x:c r="H110" s="63" t="n">
        <x:v>0</x:v>
      </x:c>
      <x:c r="I110" s="72" t="str">
        <x:f>IF(OR(G110="",G110&lt;1,G110&gt;5),"",CHOOSE(G110,9,6,4,2,1)+2*IF(H110="",0,H110))</x:f>
      </x:c>
      <x:c r="J110" s="63" t="str"/>
    </x:row>
    <x:row r="111">
      <x:c r="A111" s="72" t="n">
        <x:v>2</x:v>
      </x:c>
      <x:c r="B111" s="72" t="str">
        <x:v>I</x:v>
      </x:c>
      <x:c r="C111" s="72" t="n">
        <x:v>2</x:v>
      </x:c>
      <x:c r="D111" s="72" t="n">
        <x:v>37</x:v>
      </x:c>
      <x:c r="E111" s="72" t="str">
        <x:f>IFERROR(IF(VLOOKUP(D111,Giocatori!$A$4:$C$73,2,FALSE)&lt;&gt;"",VLOOKUP(D111,Giocatori!$A$4:$C$73,2,FALSE),"Giocatore "&amp;D111),"Giocatore "&amp;D111)</x:f>
        <x:v>Spallone Carmine</x:v>
      </x:c>
      <x:c r="F111" s="63" t="str"/>
      <x:c r="G111" s="63" t="str"/>
      <x:c r="H111" s="63" t="n">
        <x:v>0</x:v>
      </x:c>
      <x:c r="I111" s="72" t="str">
        <x:f>IF(OR(G111="",G111&lt;1,G111&gt;5),"",CHOOSE(G111,9,6,4,2,1)+2*IF(H111="",0,H111))</x:f>
      </x:c>
      <x:c r="J111" s="63" t="str"/>
    </x:row>
    <x:row r="112">
      <x:c r="A112" s="72" t="n">
        <x:v>2</x:v>
      </x:c>
      <x:c r="B112" s="72" t="str">
        <x:v>I</x:v>
      </x:c>
      <x:c r="C112" s="72" t="n">
        <x:v>3</x:v>
      </x:c>
      <x:c r="D112" s="72" t="n">
        <x:v>33</x:v>
      </x:c>
      <x:c r="E112" s="72" t="str">
        <x:f>IFERROR(IF(VLOOKUP(D112,Giocatori!$A$4:$C$73,2,FALSE)&lt;&gt;"",VLOOKUP(D112,Giocatori!$A$4:$C$73,2,FALSE),"Giocatore "&amp;D112),"Giocatore "&amp;D112)</x:f>
        <x:v>Franzese Francesco</x:v>
      </x:c>
      <x:c r="F112" s="63" t="str"/>
      <x:c r="G112" s="63" t="str"/>
      <x:c r="H112" s="63" t="n">
        <x:v>0</x:v>
      </x:c>
      <x:c r="I112" s="72" t="str">
        <x:f>IF(OR(G112="",G112&lt;1,G112&gt;5),"",CHOOSE(G112,9,6,4,2,1)+2*IF(H112="",0,H112))</x:f>
      </x:c>
      <x:c r="J112" s="63" t="str"/>
    </x:row>
    <x:row r="113">
      <x:c r="A113" s="72" t="n">
        <x:v>2</x:v>
      </x:c>
      <x:c r="B113" s="72" t="str">
        <x:v>I</x:v>
      </x:c>
      <x:c r="C113" s="72" t="n">
        <x:v>4</x:v>
      </x:c>
      <x:c r="D113" s="72" t="n">
        <x:v>29</x:v>
      </x:c>
      <x:c r="E113" s="72" t="str">
        <x:f>IFERROR(IF(VLOOKUP(D113,Giocatori!$A$4:$C$73,2,FALSE)&lt;&gt;"",VLOOKUP(D113,Giocatori!$A$4:$C$73,2,FALSE),"Giocatore "&amp;D113),"Giocatore "&amp;D113)</x:f>
        <x:v>Nappi Nestore</x:v>
      </x:c>
      <x:c r="F113" s="63" t="str"/>
      <x:c r="G113" s="63" t="str"/>
      <x:c r="H113" s="63" t="n">
        <x:v>0</x:v>
      </x:c>
      <x:c r="I113" s="72" t="str">
        <x:f>IF(OR(G113="",G113&lt;1,G113&gt;5),"",CHOOSE(G113,9,6,4,2,1)+2*IF(H113="",0,H113))</x:f>
      </x:c>
      <x:c r="J113" s="63" t="str"/>
    </x:row>
    <x:row r="114">
      <x:c r="A114" s="72" t="n">
        <x:v>2</x:v>
      </x:c>
      <x:c r="B114" s="72" t="str">
        <x:v>I</x:v>
      </x:c>
      <x:c r="C114" s="72" t="n">
        <x:v>5</x:v>
      </x:c>
      <x:c r="D114" s="72" t="n">
        <x:v>25</x:v>
      </x:c>
      <x:c r="E114" s="72" t="str">
        <x:f>IFERROR(IF(VLOOKUP(D114,Giocatori!$A$4:$C$73,2,FALSE)&lt;&gt;"",VLOOKUP(D114,Giocatori!$A$4:$C$73,2,FALSE),"Giocatore "&amp;D114),"Giocatore "&amp;D114)</x:f>
        <x:v>Giugliano Francesco</x:v>
      </x:c>
      <x:c r="F114" s="63" t="str"/>
      <x:c r="G114" s="63" t="str"/>
      <x:c r="H114" s="63" t="n">
        <x:v>0</x:v>
      </x:c>
      <x:c r="I114" s="72" t="str">
        <x:f>IF(OR(G114="",G114&lt;1,G114&gt;5),"",CHOOSE(G114,9,6,4,2,1)+2*IF(H114="",0,H114))</x:f>
      </x:c>
      <x:c r="J114" s="63" t="str"/>
    </x:row>
    <x:row r="115">
      <x:c r="A115" s="72" t="n">
        <x:v>2</x:v>
      </x:c>
      <x:c r="B115" s="72" t="str">
        <x:v>J</x:v>
      </x:c>
      <x:c r="C115" s="72" t="n">
        <x:v>1</x:v>
      </x:c>
      <x:c r="D115" s="72" t="n">
        <x:v>46</x:v>
      </x:c>
      <x:c r="E115" s="72" t="str">
        <x:f>IFERROR(IF(VLOOKUP(D115,Giocatori!$A$4:$C$73,2,FALSE)&lt;&gt;"",VLOOKUP(D115,Giocatori!$A$4:$C$73,2,FALSE),"Giocatore "&amp;D115),"Giocatore "&amp;D115)</x:f>
        <x:v>Cafarelli Manolo</x:v>
      </x:c>
      <x:c r="F115" s="63" t="str"/>
      <x:c r="G115" s="63" t="str"/>
      <x:c r="H115" s="63" t="n">
        <x:v>0</x:v>
      </x:c>
      <x:c r="I115" s="72" t="str">
        <x:f>IF(OR(G115="",G115&lt;1,G115&gt;5),"",CHOOSE(G115,9,6,4,2,1)+2*IF(H115="",0,H115))</x:f>
      </x:c>
      <x:c r="J115" s="63" t="str"/>
    </x:row>
    <x:row r="116">
      <x:c r="A116" s="72" t="n">
        <x:v>2</x:v>
      </x:c>
      <x:c r="B116" s="72" t="str">
        <x:v>J</x:v>
      </x:c>
      <x:c r="C116" s="72" t="n">
        <x:v>2</x:v>
      </x:c>
      <x:c r="D116" s="72" t="n">
        <x:v>42</x:v>
      </x:c>
      <x:c r="E116" s="72" t="str">
        <x:f>IFERROR(IF(VLOOKUP(D116,Giocatori!$A$4:$C$73,2,FALSE)&lt;&gt;"",VLOOKUP(D116,Giocatori!$A$4:$C$73,2,FALSE),"Giocatore "&amp;D116),"Giocatore "&amp;D116)</x:f>
        <x:v>Guerriero Giuseppe</x:v>
      </x:c>
      <x:c r="F116" s="63" t="str"/>
      <x:c r="G116" s="63" t="str"/>
      <x:c r="H116" s="63" t="n">
        <x:v>0</x:v>
      </x:c>
      <x:c r="I116" s="72" t="str">
        <x:f>IF(OR(G116="",G116&lt;1,G116&gt;5),"",CHOOSE(G116,9,6,4,2,1)+2*IF(H116="",0,H116))</x:f>
      </x:c>
      <x:c r="J116" s="63" t="str"/>
    </x:row>
    <x:row r="117">
      <x:c r="A117" s="72" t="n">
        <x:v>2</x:v>
      </x:c>
      <x:c r="B117" s="72" t="str">
        <x:v>J</x:v>
      </x:c>
      <x:c r="C117" s="72" t="n">
        <x:v>3</x:v>
      </x:c>
      <x:c r="D117" s="72" t="n">
        <x:v>38</x:v>
      </x:c>
      <x:c r="E117" s="72" t="str">
        <x:f>IFERROR(IF(VLOOKUP(D117,Giocatori!$A$4:$C$73,2,FALSE)&lt;&gt;"",VLOOKUP(D117,Giocatori!$A$4:$C$73,2,FALSE),"Giocatore "&amp;D117),"Giocatore "&amp;D117)</x:f>
        <x:v>Mauro Nicola</x:v>
      </x:c>
      <x:c r="F117" s="63" t="str"/>
      <x:c r="G117" s="63" t="str"/>
      <x:c r="H117" s="63" t="n">
        <x:v>0</x:v>
      </x:c>
      <x:c r="I117" s="72" t="str">
        <x:f>IF(OR(G117="",G117&lt;1,G117&gt;5),"",CHOOSE(G117,9,6,4,2,1)+2*IF(H117="",0,H117))</x:f>
      </x:c>
      <x:c r="J117" s="63" t="str"/>
    </x:row>
    <x:row r="118">
      <x:c r="A118" s="72" t="n">
        <x:v>2</x:v>
      </x:c>
      <x:c r="B118" s="72" t="str">
        <x:v>J</x:v>
      </x:c>
      <x:c r="C118" s="72" t="n">
        <x:v>4</x:v>
      </x:c>
      <x:c r="D118" s="72" t="n">
        <x:v>34</x:v>
      </x:c>
      <x:c r="E118" s="72" t="str">
        <x:f>IFERROR(IF(VLOOKUP(D118,Giocatori!$A$4:$C$73,2,FALSE)&lt;&gt;"",VLOOKUP(D118,Giocatori!$A$4:$C$73,2,FALSE),"Giocatore "&amp;D118),"Giocatore "&amp;D118)</x:f>
        <x:v>Fontanella Giuseppe</x:v>
      </x:c>
      <x:c r="F118" s="63" t="str"/>
      <x:c r="G118" s="63" t="str"/>
      <x:c r="H118" s="63" t="n">
        <x:v>0</x:v>
      </x:c>
      <x:c r="I118" s="72" t="str">
        <x:f>IF(OR(G118="",G118&lt;1,G118&gt;5),"",CHOOSE(G118,9,6,4,2,1)+2*IF(H118="",0,H118))</x:f>
      </x:c>
      <x:c r="J118" s="63" t="str"/>
    </x:row>
    <x:row r="119">
      <x:c r="A119" s="72" t="n">
        <x:v>2</x:v>
      </x:c>
      <x:c r="B119" s="72" t="str">
        <x:v>J</x:v>
      </x:c>
      <x:c r="C119" s="72" t="n">
        <x:v>5</x:v>
      </x:c>
      <x:c r="D119" s="72" t="n">
        <x:v>30</x:v>
      </x:c>
      <x:c r="E119" s="72" t="str">
        <x:f>IFERROR(IF(VLOOKUP(D119,Giocatori!$A$4:$C$73,2,FALSE)&lt;&gt;"",VLOOKUP(D119,Giocatori!$A$4:$C$73,2,FALSE),"Giocatore "&amp;D119),"Giocatore "&amp;D119)</x:f>
        <x:v>Tufano Giuseppe</x:v>
      </x:c>
      <x:c r="F119" s="63" t="str"/>
      <x:c r="G119" s="63" t="str"/>
      <x:c r="H119" s="63" t="n">
        <x:v>0</x:v>
      </x:c>
      <x:c r="I119" s="72" t="str">
        <x:f>IF(OR(G119="",G119&lt;1,G119&gt;5),"",CHOOSE(G119,9,6,4,2,1)+2*IF(H119="",0,H119))</x:f>
      </x:c>
      <x:c r="J119" s="63" t="str"/>
    </x:row>
    <x:row r="120">
      <x:c r="A120" s="72" t="n">
        <x:v>2</x:v>
      </x:c>
      <x:c r="B120" s="72" t="str">
        <x:v>K</x:v>
      </x:c>
      <x:c r="C120" s="72" t="n">
        <x:v>1</x:v>
      </x:c>
      <x:c r="D120" s="72" t="n">
        <x:v>51</x:v>
      </x:c>
      <x:c r="E120" s="72" t="str">
        <x:f>IFERROR(IF(VLOOKUP(D120,Giocatori!$A$4:$C$73,2,FALSE)&lt;&gt;"",VLOOKUP(D120,Giocatori!$A$4:$C$73,2,FALSE),"Giocatore "&amp;D120),"Giocatore "&amp;D120)</x:f>
        <x:v>Domenico</x:v>
      </x:c>
      <x:c r="F120" s="63" t="str"/>
      <x:c r="G120" s="63" t="str"/>
      <x:c r="H120" s="63" t="n">
        <x:v>0</x:v>
      </x:c>
      <x:c r="I120" s="72" t="str">
        <x:f>IF(OR(G120="",G120&lt;1,G120&gt;5),"",CHOOSE(G120,9,6,4,2,1)+2*IF(H120="",0,H120))</x:f>
      </x:c>
      <x:c r="J120" s="63" t="str"/>
    </x:row>
    <x:row r="121">
      <x:c r="A121" s="72" t="n">
        <x:v>2</x:v>
      </x:c>
      <x:c r="B121" s="72" t="str">
        <x:v>K</x:v>
      </x:c>
      <x:c r="C121" s="72" t="n">
        <x:v>2</x:v>
      </x:c>
      <x:c r="D121" s="72" t="n">
        <x:v>47</x:v>
      </x:c>
      <x:c r="E121" s="72" t="str">
        <x:f>IFERROR(IF(VLOOKUP(D121,Giocatori!$A$4:$C$73,2,FALSE)&lt;&gt;"",VLOOKUP(D121,Giocatori!$A$4:$C$73,2,FALSE),"Giocatore "&amp;D121),"Giocatore "&amp;D121)</x:f>
        <x:v>Casoria Felice</x:v>
      </x:c>
      <x:c r="F121" s="63" t="str"/>
      <x:c r="G121" s="63" t="str"/>
      <x:c r="H121" s="63" t="n">
        <x:v>0</x:v>
      </x:c>
      <x:c r="I121" s="72" t="str">
        <x:f>IF(OR(G121="",G121&lt;1,G121&gt;5),"",CHOOSE(G121,9,6,4,2,1)+2*IF(H121="",0,H121))</x:f>
      </x:c>
      <x:c r="J121" s="63" t="str"/>
    </x:row>
    <x:row r="122">
      <x:c r="A122" s="72" t="n">
        <x:v>2</x:v>
      </x:c>
      <x:c r="B122" s="72" t="str">
        <x:v>K</x:v>
      </x:c>
      <x:c r="C122" s="72" t="n">
        <x:v>3</x:v>
      </x:c>
      <x:c r="D122" s="72" t="n">
        <x:v>43</x:v>
      </x:c>
      <x:c r="E122" s="72" t="str">
        <x:f>IFERROR(IF(VLOOKUP(D122,Giocatori!$A$4:$C$73,2,FALSE)&lt;&gt;"",VLOOKUP(D122,Giocatori!$A$4:$C$73,2,FALSE),"Giocatore "&amp;D122),"Giocatore "&amp;D122)</x:f>
        <x:v>Ruotolo Sabatino</x:v>
      </x:c>
      <x:c r="F122" s="63" t="str"/>
      <x:c r="G122" s="63" t="str"/>
      <x:c r="H122" s="63" t="n">
        <x:v>0</x:v>
      </x:c>
      <x:c r="I122" s="72" t="str">
        <x:f>IF(OR(G122="",G122&lt;1,G122&gt;5),"",CHOOSE(G122,9,6,4,2,1)+2*IF(H122="",0,H122))</x:f>
      </x:c>
      <x:c r="J122" s="63" t="str"/>
    </x:row>
    <x:row r="123">
      <x:c r="A123" s="72" t="n">
        <x:v>2</x:v>
      </x:c>
      <x:c r="B123" s="72" t="str">
        <x:v>K</x:v>
      </x:c>
      <x:c r="C123" s="72" t="n">
        <x:v>4</x:v>
      </x:c>
      <x:c r="D123" s="72" t="n">
        <x:v>39</x:v>
      </x:c>
      <x:c r="E123" s="72" t="str">
        <x:f>IFERROR(IF(VLOOKUP(D123,Giocatori!$A$4:$C$73,2,FALSE)&lt;&gt;"",VLOOKUP(D123,Giocatori!$A$4:$C$73,2,FALSE),"Giocatore "&amp;D123),"Giocatore "&amp;D123)</x:f>
        <x:v>Ambrosino Lello</x:v>
      </x:c>
      <x:c r="F123" s="63" t="str"/>
      <x:c r="G123" s="63" t="str"/>
      <x:c r="H123" s="63" t="n">
        <x:v>0</x:v>
      </x:c>
      <x:c r="I123" s="72" t="str">
        <x:f>IF(OR(G123="",G123&lt;1,G123&gt;5),"",CHOOSE(G123,9,6,4,2,1)+2*IF(H123="",0,H123))</x:f>
      </x:c>
      <x:c r="J123" s="63" t="str"/>
    </x:row>
    <x:row r="124">
      <x:c r="A124" s="72" t="n">
        <x:v>2</x:v>
      </x:c>
      <x:c r="B124" s="72" t="str">
        <x:v>K</x:v>
      </x:c>
      <x:c r="C124" s="72" t="n">
        <x:v>5</x:v>
      </x:c>
      <x:c r="D124" s="72" t="n">
        <x:v>35</x:v>
      </x:c>
      <x:c r="E124" s="72" t="str">
        <x:f>IFERROR(IF(VLOOKUP(D124,Giocatori!$A$4:$C$73,2,FALSE)&lt;&gt;"",VLOOKUP(D124,Giocatori!$A$4:$C$73,2,FALSE),"Giocatore "&amp;D124),"Giocatore "&amp;D124)</x:f>
        <x:v>Panico Giuseppe</x:v>
      </x:c>
      <x:c r="F124" s="63" t="str"/>
      <x:c r="G124" s="63" t="str"/>
      <x:c r="H124" s="63" t="n">
        <x:v>0</x:v>
      </x:c>
      <x:c r="I124" s="72" t="str">
        <x:f>IF(OR(G124="",G124&lt;1,G124&gt;5),"",CHOOSE(G124,9,6,4,2,1)+2*IF(H124="",0,H124))</x:f>
      </x:c>
      <x:c r="J124" s="63" t="str"/>
    </x:row>
    <x:row r="125">
      <x:c r="A125" s="72" t="n">
        <x:v>2</x:v>
      </x:c>
      <x:c r="B125" s="72" t="str">
        <x:v>L</x:v>
      </x:c>
      <x:c r="C125" s="72" t="n">
        <x:v>1</x:v>
      </x:c>
      <x:c r="D125" s="72" t="n">
        <x:v>56</x:v>
      </x:c>
      <x:c r="E125" s="72" t="str">
        <x:f>IFERROR(IF(VLOOKUP(D125,Giocatori!$A$4:$C$73,2,FALSE)&lt;&gt;"",VLOOKUP(D125,Giocatori!$A$4:$C$73,2,FALSE),"Giocatore "&amp;D125),"Giocatore "&amp;D125)</x:f>
        <x:v>Oreste</x:v>
      </x:c>
      <x:c r="F125" s="63" t="str"/>
      <x:c r="G125" s="63" t="str"/>
      <x:c r="H125" s="63" t="n">
        <x:v>0</x:v>
      </x:c>
      <x:c r="I125" s="72" t="str">
        <x:f>IF(OR(G125="",G125&lt;1,G125&gt;5),"",CHOOSE(G125,9,6,4,2,1)+2*IF(H125="",0,H125))</x:f>
      </x:c>
      <x:c r="J125" s="63" t="str"/>
    </x:row>
    <x:row r="126">
      <x:c r="A126" s="72" t="n">
        <x:v>2</x:v>
      </x:c>
      <x:c r="B126" s="72" t="str">
        <x:v>L</x:v>
      </x:c>
      <x:c r="C126" s="72" t="n">
        <x:v>2</x:v>
      </x:c>
      <x:c r="D126" s="72" t="n">
        <x:v>52</x:v>
      </x:c>
      <x:c r="E126" s="72" t="str">
        <x:f>IFERROR(IF(VLOOKUP(D126,Giocatori!$A$4:$C$73,2,FALSE)&lt;&gt;"",VLOOKUP(D126,Giocatori!$A$4:$C$73,2,FALSE),"Giocatore "&amp;D126),"Giocatore "&amp;D126)</x:f>
        <x:v>Montanera Michele</x:v>
      </x:c>
      <x:c r="F126" s="63" t="str"/>
      <x:c r="G126" s="63" t="str"/>
      <x:c r="H126" s="63" t="n">
        <x:v>0</x:v>
      </x:c>
      <x:c r="I126" s="72" t="str">
        <x:f>IF(OR(G126="",G126&lt;1,G126&gt;5),"",CHOOSE(G126,9,6,4,2,1)+2*IF(H126="",0,H126))</x:f>
      </x:c>
      <x:c r="J126" s="63" t="str"/>
    </x:row>
    <x:row r="127">
      <x:c r="A127" s="72" t="n">
        <x:v>2</x:v>
      </x:c>
      <x:c r="B127" s="72" t="str">
        <x:v>L</x:v>
      </x:c>
      <x:c r="C127" s="72" t="n">
        <x:v>3</x:v>
      </x:c>
      <x:c r="D127" s="72" t="n">
        <x:v>48</x:v>
      </x:c>
      <x:c r="E127" s="72" t="str">
        <x:f>IFERROR(IF(VLOOKUP(D127,Giocatori!$A$4:$C$73,2,FALSE)&lt;&gt;"",VLOOKUP(D127,Giocatori!$A$4:$C$73,2,FALSE),"Giocatore "&amp;D127),"Giocatore "&amp;D127)</x:f>
        <x:v>Nspolitano Carlo</x:v>
      </x:c>
      <x:c r="F127" s="63" t="str"/>
      <x:c r="G127" s="63" t="str"/>
      <x:c r="H127" s="63" t="n">
        <x:v>0</x:v>
      </x:c>
      <x:c r="I127" s="72" t="str">
        <x:f>IF(OR(G127="",G127&lt;1,G127&gt;5),"",CHOOSE(G127,9,6,4,2,1)+2*IF(H127="",0,H127))</x:f>
      </x:c>
      <x:c r="J127" s="63" t="str"/>
    </x:row>
    <x:row r="128">
      <x:c r="A128" s="72" t="n">
        <x:v>2</x:v>
      </x:c>
      <x:c r="B128" s="72" t="str">
        <x:v>L</x:v>
      </x:c>
      <x:c r="C128" s="72" t="n">
        <x:v>4</x:v>
      </x:c>
      <x:c r="D128" s="72" t="n">
        <x:v>44</x:v>
      </x:c>
      <x:c r="E128" s="72" t="str">
        <x:f>IFERROR(IF(VLOOKUP(D128,Giocatori!$A$4:$C$73,2,FALSE)&lt;&gt;"",VLOOKUP(D128,Giocatori!$A$4:$C$73,2,FALSE),"Giocatore "&amp;D128),"Giocatore "&amp;D128)</x:f>
        <x:v>Abbate Michele</x:v>
      </x:c>
      <x:c r="F128" s="63" t="str"/>
      <x:c r="G128" s="63" t="str"/>
      <x:c r="H128" s="63" t="n">
        <x:v>0</x:v>
      </x:c>
      <x:c r="I128" s="72" t="str">
        <x:f>IF(OR(G128="",G128&lt;1,G128&gt;5),"",CHOOSE(G128,9,6,4,2,1)+2*IF(H128="",0,H128))</x:f>
      </x:c>
      <x:c r="J128" s="63" t="str"/>
    </x:row>
    <x:row r="129">
      <x:c r="A129" s="72" t="n">
        <x:v>2</x:v>
      </x:c>
      <x:c r="B129" s="72" t="str">
        <x:v>L</x:v>
      </x:c>
      <x:c r="C129" s="72" t="n">
        <x:v>5</x:v>
      </x:c>
      <x:c r="D129" s="72" t="n">
        <x:v>40</x:v>
      </x:c>
      <x:c r="E129" s="72" t="str">
        <x:f>IFERROR(IF(VLOOKUP(D129,Giocatori!$A$4:$C$73,2,FALSE)&lt;&gt;"",VLOOKUP(D129,Giocatori!$A$4:$C$73,2,FALSE),"Giocatore "&amp;D129),"Giocatore "&amp;D129)</x:f>
        <x:v>Carbone Felice</x:v>
      </x:c>
      <x:c r="F129" s="63" t="str"/>
      <x:c r="G129" s="63" t="str"/>
      <x:c r="H129" s="63" t="n">
        <x:v>0</x:v>
      </x:c>
      <x:c r="I129" s="72" t="str">
        <x:f>IF(OR(G129="",G129&lt;1,G129&gt;5),"",CHOOSE(G129,9,6,4,2,1)+2*IF(H129="",0,H129))</x:f>
      </x:c>
      <x:c r="J129" s="63" t="str"/>
    </x:row>
    <x:row r="130">
      <x:c r="A130" s="72" t="n">
        <x:v>2</x:v>
      </x:c>
      <x:c r="B130" s="72" t="str">
        <x:v>M</x:v>
      </x:c>
      <x:c r="C130" s="72" t="n">
        <x:v>1</x:v>
      </x:c>
      <x:c r="D130" s="72" t="n">
        <x:v>61</x:v>
      </x:c>
      <x:c r="E130" s="72" t="str">
        <x:f>IFERROR(IF(VLOOKUP(D130,Giocatori!$A$4:$C$73,2,FALSE)&lt;&gt;"",VLOOKUP(D130,Giocatori!$A$4:$C$73,2,FALSE),"Giocatore "&amp;D130),"Giocatore "&amp;D130)</x:f>
        <x:v>Mauro Cantice</x:v>
      </x:c>
      <x:c r="F130" s="63" t="str"/>
      <x:c r="G130" s="63" t="str"/>
      <x:c r="H130" s="63" t="n">
        <x:v>0</x:v>
      </x:c>
      <x:c r="I130" s="72" t="str">
        <x:f>IF(OR(G130="",G130&lt;1,G130&gt;5),"",CHOOSE(G130,9,6,4,2,1)+2*IF(H130="",0,H130))</x:f>
      </x:c>
      <x:c r="J130" s="63" t="str"/>
    </x:row>
    <x:row r="131">
      <x:c r="A131" s="72" t="n">
        <x:v>2</x:v>
      </x:c>
      <x:c r="B131" s="72" t="str">
        <x:v>M</x:v>
      </x:c>
      <x:c r="C131" s="72" t="n">
        <x:v>2</x:v>
      </x:c>
      <x:c r="D131" s="72" t="n">
        <x:v>57</x:v>
      </x:c>
      <x:c r="E131" s="72" t="str">
        <x:f>IFERROR(IF(VLOOKUP(D131,Giocatori!$A$4:$C$73,2,FALSE)&lt;&gt;"",VLOOKUP(D131,Giocatori!$A$4:$C$73,2,FALSE),"Giocatore "&amp;D131),"Giocatore "&amp;D131)</x:f>
        <x:v>Sirico Crescenzo</x:v>
      </x:c>
      <x:c r="F131" s="63" t="str"/>
      <x:c r="G131" s="63" t="str"/>
      <x:c r="H131" s="63" t="n">
        <x:v>0</x:v>
      </x:c>
      <x:c r="I131" s="72" t="str">
        <x:f>IF(OR(G131="",G131&lt;1,G131&gt;5),"",CHOOSE(G131,9,6,4,2,1)+2*IF(H131="",0,H131))</x:f>
      </x:c>
      <x:c r="J131" s="63" t="str"/>
    </x:row>
    <x:row r="132">
      <x:c r="A132" s="72" t="n">
        <x:v>2</x:v>
      </x:c>
      <x:c r="B132" s="72" t="str">
        <x:v>M</x:v>
      </x:c>
      <x:c r="C132" s="72" t="n">
        <x:v>3</x:v>
      </x:c>
      <x:c r="D132" s="72" t="n">
        <x:v>53</x:v>
      </x:c>
      <x:c r="E132" s="72" t="str">
        <x:f>IFERROR(IF(VLOOKUP(D132,Giocatori!$A$4:$C$73,2,FALSE)&lt;&gt;"",VLOOKUP(D132,Giocatori!$A$4:$C$73,2,FALSE),"Giocatore "&amp;D132),"Giocatore "&amp;D132)</x:f>
        <x:v>Gaita Rossano</x:v>
      </x:c>
      <x:c r="F132" s="63" t="str"/>
      <x:c r="G132" s="63" t="str"/>
      <x:c r="H132" s="63" t="n">
        <x:v>0</x:v>
      </x:c>
      <x:c r="I132" s="72" t="str">
        <x:f>IF(OR(G132="",G132&lt;1,G132&gt;5),"",CHOOSE(G132,9,6,4,2,1)+2*IF(H132="",0,H132))</x:f>
      </x:c>
      <x:c r="J132" s="63" t="str"/>
    </x:row>
    <x:row r="133">
      <x:c r="A133" s="72" t="n">
        <x:v>2</x:v>
      </x:c>
      <x:c r="B133" s="72" t="str">
        <x:v>M</x:v>
      </x:c>
      <x:c r="C133" s="72" t="n">
        <x:v>4</x:v>
      </x:c>
      <x:c r="D133" s="72" t="n">
        <x:v>49</x:v>
      </x:c>
      <x:c r="E133" s="72" t="str">
        <x:f>IFERROR(IF(VLOOKUP(D133,Giocatori!$A$4:$C$73,2,FALSE)&lt;&gt;"",VLOOKUP(D133,Giocatori!$A$4:$C$73,2,FALSE),"Giocatore "&amp;D133),"Giocatore "&amp;D133)</x:f>
        <x:v>Tufano Michele</x:v>
      </x:c>
      <x:c r="F133" s="63" t="str"/>
      <x:c r="G133" s="63" t="str"/>
      <x:c r="H133" s="63" t="n">
        <x:v>0</x:v>
      </x:c>
      <x:c r="I133" s="72" t="str">
        <x:f>IF(OR(G133="",G133&lt;1,G133&gt;5),"",CHOOSE(G133,9,6,4,2,1)+2*IF(H133="",0,H133))</x:f>
      </x:c>
      <x:c r="J133" s="63" t="str"/>
    </x:row>
    <x:row r="134">
      <x:c r="A134" s="72" t="n">
        <x:v>2</x:v>
      </x:c>
      <x:c r="B134" s="72" t="str">
        <x:v>M</x:v>
      </x:c>
      <x:c r="C134" s="72" t="n">
        <x:v>5</x:v>
      </x:c>
      <x:c r="D134" s="72" t="n">
        <x:v>45</x:v>
      </x:c>
      <x:c r="E134" s="72" t="str">
        <x:f>IFERROR(IF(VLOOKUP(D134,Giocatori!$A$4:$C$73,2,FALSE)&lt;&gt;"",VLOOKUP(D134,Giocatori!$A$4:$C$73,2,FALSE),"Giocatore "&amp;D134),"Giocatore "&amp;D134)</x:f>
        <x:v>Isernia Antonio</x:v>
      </x:c>
      <x:c r="F134" s="63" t="str"/>
      <x:c r="G134" s="63" t="str"/>
      <x:c r="H134" s="63" t="n">
        <x:v>0</x:v>
      </x:c>
      <x:c r="I134" s="72" t="str">
        <x:f>IF(OR(G134="",G134&lt;1,G134&gt;5),"",CHOOSE(G134,9,6,4,2,1)+2*IF(H134="",0,H134))</x:f>
      </x:c>
      <x:c r="J134" s="63" t="str"/>
    </x:row>
    <x:row r="135">
      <x:c r="A135" s="76" t="n">
        <x:v>3</x:v>
      </x:c>
      <x:c r="B135" s="76" t="str">
        <x:v>A</x:v>
      </x:c>
      <x:c r="C135" s="76" t="n">
        <x:v>1</x:v>
      </x:c>
      <x:c r="D135" s="76" t="n">
        <x:v>1</x:v>
      </x:c>
      <x:c r="E135" s="76" t="str">
        <x:f>IFERROR(IF(VLOOKUP(D135,Giocatori!$A$4:$C$73,2,FALSE)&lt;&gt;"",VLOOKUP(D135,Giocatori!$A$4:$C$73,2,FALSE),"Giocatore "&amp;D135),"Giocatore "&amp;D135)</x:f>
        <x:v>Annunziata Michele</x:v>
      </x:c>
      <x:c r="F135" s="77" t="str"/>
      <x:c r="G135" s="77" t="str"/>
      <x:c r="H135" s="77" t="n">
        <x:v>0</x:v>
      </x:c>
      <x:c r="I135" s="76" t="str">
        <x:f>IF(OR(G135="",G135&lt;1,G135&gt;5),"",CHOOSE(G135,9,6,4,2,1)+2*IF(H135="",0,H135))</x:f>
      </x:c>
      <x:c r="J135" s="77" t="str"/>
    </x:row>
    <x:row r="136">
      <x:c r="A136" s="72" t="n">
        <x:v>3</x:v>
      </x:c>
      <x:c r="B136" s="72" t="str">
        <x:v>A</x:v>
      </x:c>
      <x:c r="C136" s="72" t="n">
        <x:v>2</x:v>
      </x:c>
      <x:c r="D136" s="72" t="n">
        <x:v>57</x:v>
      </x:c>
      <x:c r="E136" s="72" t="str">
        <x:f>IFERROR(IF(VLOOKUP(D136,Giocatori!$A$4:$C$73,2,FALSE)&lt;&gt;"",VLOOKUP(D136,Giocatori!$A$4:$C$73,2,FALSE),"Giocatore "&amp;D136),"Giocatore "&amp;D136)</x:f>
        <x:v>Sirico Crescenzo</x:v>
      </x:c>
      <x:c r="F136" s="63" t="str"/>
      <x:c r="G136" s="63" t="str"/>
      <x:c r="H136" s="63" t="n">
        <x:v>0</x:v>
      </x:c>
      <x:c r="I136" s="72" t="str">
        <x:f>IF(OR(G136="",G136&lt;1,G136&gt;5),"",CHOOSE(G136,9,6,4,2,1)+2*IF(H136="",0,H136))</x:f>
      </x:c>
      <x:c r="J136" s="63" t="str"/>
    </x:row>
    <x:row r="137">
      <x:c r="A137" s="72" t="n">
        <x:v>3</x:v>
      </x:c>
      <x:c r="B137" s="72" t="str">
        <x:v>A</x:v>
      </x:c>
      <x:c r="C137" s="72" t="n">
        <x:v>3</x:v>
      </x:c>
      <x:c r="D137" s="72" t="n">
        <x:v>48</x:v>
      </x:c>
      <x:c r="E137" s="72" t="str">
        <x:f>IFERROR(IF(VLOOKUP(D137,Giocatori!$A$4:$C$73,2,FALSE)&lt;&gt;"",VLOOKUP(D137,Giocatori!$A$4:$C$73,2,FALSE),"Giocatore "&amp;D137),"Giocatore "&amp;D137)</x:f>
        <x:v>Nspolitano Carlo</x:v>
      </x:c>
      <x:c r="F137" s="63" t="str"/>
      <x:c r="G137" s="63" t="str"/>
      <x:c r="H137" s="63" t="n">
        <x:v>0</x:v>
      </x:c>
      <x:c r="I137" s="72" t="str">
        <x:f>IF(OR(G137="",G137&lt;1,G137&gt;5),"",CHOOSE(G137,9,6,4,2,1)+2*IF(H137="",0,H137))</x:f>
      </x:c>
      <x:c r="J137" s="63" t="str"/>
    </x:row>
    <x:row r="138">
      <x:c r="A138" s="72" t="n">
        <x:v>3</x:v>
      </x:c>
      <x:c r="B138" s="72" t="str">
        <x:v>A</x:v>
      </x:c>
      <x:c r="C138" s="72" t="n">
        <x:v>4</x:v>
      </x:c>
      <x:c r="D138" s="72" t="n">
        <x:v>39</x:v>
      </x:c>
      <x:c r="E138" s="72" t="str">
        <x:f>IFERROR(IF(VLOOKUP(D138,Giocatori!$A$4:$C$73,2,FALSE)&lt;&gt;"",VLOOKUP(D138,Giocatori!$A$4:$C$73,2,FALSE),"Giocatore "&amp;D138),"Giocatore "&amp;D138)</x:f>
        <x:v>Ambrosino Lello</x:v>
      </x:c>
      <x:c r="F138" s="63" t="str"/>
      <x:c r="G138" s="63" t="str"/>
      <x:c r="H138" s="63" t="n">
        <x:v>0</x:v>
      </x:c>
      <x:c r="I138" s="72" t="str">
        <x:f>IF(OR(G138="",G138&lt;1,G138&gt;5),"",CHOOSE(G138,9,6,4,2,1)+2*IF(H138="",0,H138))</x:f>
      </x:c>
      <x:c r="J138" s="63" t="str"/>
    </x:row>
    <x:row r="139">
      <x:c r="A139" s="72" t="n">
        <x:v>3</x:v>
      </x:c>
      <x:c r="B139" s="72" t="str">
        <x:v>A</x:v>
      </x:c>
      <x:c r="C139" s="72" t="n">
        <x:v>5</x:v>
      </x:c>
      <x:c r="D139" s="72" t="n">
        <x:v>30</x:v>
      </x:c>
      <x:c r="E139" s="72" t="str">
        <x:f>IFERROR(IF(VLOOKUP(D139,Giocatori!$A$4:$C$73,2,FALSE)&lt;&gt;"",VLOOKUP(D139,Giocatori!$A$4:$C$73,2,FALSE),"Giocatore "&amp;D139),"Giocatore "&amp;D139)</x:f>
        <x:v>Tufano Giuseppe</x:v>
      </x:c>
      <x:c r="F139" s="63" t="str"/>
      <x:c r="G139" s="63" t="str"/>
      <x:c r="H139" s="63" t="n">
        <x:v>0</x:v>
      </x:c>
      <x:c r="I139" s="72" t="str">
        <x:f>IF(OR(G139="",G139&lt;1,G139&gt;5),"",CHOOSE(G139,9,6,4,2,1)+2*IF(H139="",0,H139))</x:f>
      </x:c>
      <x:c r="J139" s="63" t="str"/>
    </x:row>
    <x:row r="140">
      <x:c r="A140" s="72" t="n">
        <x:v>3</x:v>
      </x:c>
      <x:c r="B140" s="72" t="str">
        <x:v>B</x:v>
      </x:c>
      <x:c r="C140" s="72" t="n">
        <x:v>1</x:v>
      </x:c>
      <x:c r="D140" s="72" t="n">
        <x:v>6</x:v>
      </x:c>
      <x:c r="E140" s="72" t="str">
        <x:f>IFERROR(IF(VLOOKUP(D140,Giocatori!$A$4:$C$73,2,FALSE)&lt;&gt;"",VLOOKUP(D140,Giocatori!$A$4:$C$73,2,FALSE),"Giocatore "&amp;D140),"Giocatore "&amp;D140)</x:f>
        <x:v>Panico Pasquale</x:v>
      </x:c>
      <x:c r="F140" s="63" t="str"/>
      <x:c r="G140" s="63" t="str"/>
      <x:c r="H140" s="63" t="n">
        <x:v>0</x:v>
      </x:c>
      <x:c r="I140" s="72" t="str">
        <x:f>IF(OR(G140="",G140&lt;1,G140&gt;5),"",CHOOSE(G140,9,6,4,2,1)+2*IF(H140="",0,H140))</x:f>
      </x:c>
      <x:c r="J140" s="63" t="str"/>
    </x:row>
    <x:row r="141">
      <x:c r="A141" s="72" t="n">
        <x:v>3</x:v>
      </x:c>
      <x:c r="B141" s="72" t="str">
        <x:v>B</x:v>
      </x:c>
      <x:c r="C141" s="72" t="n">
        <x:v>2</x:v>
      </x:c>
      <x:c r="D141" s="72" t="n">
        <x:v>62</x:v>
      </x:c>
      <x:c r="E141" s="72" t="str">
        <x:f>IFERROR(IF(VLOOKUP(D141,Giocatori!$A$4:$C$73,2,FALSE)&lt;&gt;"",VLOOKUP(D141,Giocatori!$A$4:$C$73,2,FALSE),"Giocatore "&amp;D141),"Giocatore "&amp;D141)</x:f>
        <x:v>Corbo Angelo</x:v>
      </x:c>
      <x:c r="F141" s="63" t="str"/>
      <x:c r="G141" s="63" t="str"/>
      <x:c r="H141" s="63" t="n">
        <x:v>0</x:v>
      </x:c>
      <x:c r="I141" s="72" t="str">
        <x:f>IF(OR(G141="",G141&lt;1,G141&gt;5),"",CHOOSE(G141,9,6,4,2,1)+2*IF(H141="",0,H141))</x:f>
      </x:c>
      <x:c r="J141" s="63" t="str"/>
    </x:row>
    <x:row r="142">
      <x:c r="A142" s="72" t="n">
        <x:v>3</x:v>
      </x:c>
      <x:c r="B142" s="72" t="str">
        <x:v>B</x:v>
      </x:c>
      <x:c r="C142" s="72" t="n">
        <x:v>3</x:v>
      </x:c>
      <x:c r="D142" s="72" t="n">
        <x:v>53</x:v>
      </x:c>
      <x:c r="E142" s="72" t="str">
        <x:f>IFERROR(IF(VLOOKUP(D142,Giocatori!$A$4:$C$73,2,FALSE)&lt;&gt;"",VLOOKUP(D142,Giocatori!$A$4:$C$73,2,FALSE),"Giocatore "&amp;D142),"Giocatore "&amp;D142)</x:f>
        <x:v>Gaita Rossano</x:v>
      </x:c>
      <x:c r="F142" s="63" t="str"/>
      <x:c r="G142" s="63" t="str"/>
      <x:c r="H142" s="63" t="n">
        <x:v>0</x:v>
      </x:c>
      <x:c r="I142" s="72" t="str">
        <x:f>IF(OR(G142="",G142&lt;1,G142&gt;5),"",CHOOSE(G142,9,6,4,2,1)+2*IF(H142="",0,H142))</x:f>
      </x:c>
      <x:c r="J142" s="63" t="str"/>
    </x:row>
    <x:row r="143">
      <x:c r="A143" s="72" t="n">
        <x:v>3</x:v>
      </x:c>
      <x:c r="B143" s="72" t="str">
        <x:v>B</x:v>
      </x:c>
      <x:c r="C143" s="72" t="n">
        <x:v>4</x:v>
      </x:c>
      <x:c r="D143" s="72" t="n">
        <x:v>44</x:v>
      </x:c>
      <x:c r="E143" s="72" t="str">
        <x:f>IFERROR(IF(VLOOKUP(D143,Giocatori!$A$4:$C$73,2,FALSE)&lt;&gt;"",VLOOKUP(D143,Giocatori!$A$4:$C$73,2,FALSE),"Giocatore "&amp;D143),"Giocatore "&amp;D143)</x:f>
        <x:v>Abbate Michele</x:v>
      </x:c>
      <x:c r="F143" s="63" t="str"/>
      <x:c r="G143" s="63" t="str"/>
      <x:c r="H143" s="63" t="n">
        <x:v>0</x:v>
      </x:c>
      <x:c r="I143" s="72" t="str">
        <x:f>IF(OR(G143="",G143&lt;1,G143&gt;5),"",CHOOSE(G143,9,6,4,2,1)+2*IF(H143="",0,H143))</x:f>
      </x:c>
      <x:c r="J143" s="63" t="str"/>
    </x:row>
    <x:row r="144">
      <x:c r="A144" s="72" t="n">
        <x:v>3</x:v>
      </x:c>
      <x:c r="B144" s="72" t="str">
        <x:v>B</x:v>
      </x:c>
      <x:c r="C144" s="72" t="n">
        <x:v>5</x:v>
      </x:c>
      <x:c r="D144" s="72" t="n">
        <x:v>35</x:v>
      </x:c>
      <x:c r="E144" s="72" t="str">
        <x:f>IFERROR(IF(VLOOKUP(D144,Giocatori!$A$4:$C$73,2,FALSE)&lt;&gt;"",VLOOKUP(D144,Giocatori!$A$4:$C$73,2,FALSE),"Giocatore "&amp;D144),"Giocatore "&amp;D144)</x:f>
        <x:v>Panico Giuseppe</x:v>
      </x:c>
      <x:c r="F144" s="63" t="str"/>
      <x:c r="G144" s="63" t="str"/>
      <x:c r="H144" s="63" t="n">
        <x:v>0</x:v>
      </x:c>
      <x:c r="I144" s="72" t="str">
        <x:f>IF(OR(G144="",G144&lt;1,G144&gt;5),"",CHOOSE(G144,9,6,4,2,1)+2*IF(H144="",0,H144))</x:f>
      </x:c>
      <x:c r="J144" s="63" t="str"/>
    </x:row>
    <x:row r="145">
      <x:c r="A145" s="72" t="n">
        <x:v>3</x:v>
      </x:c>
      <x:c r="B145" s="72" t="str">
        <x:v>C</x:v>
      </x:c>
      <x:c r="C145" s="72" t="n">
        <x:v>1</x:v>
      </x:c>
      <x:c r="D145" s="72" t="n">
        <x:v>11</x:v>
      </x:c>
      <x:c r="E145" s="72" t="str">
        <x:f>IFERROR(IF(VLOOKUP(D145,Giocatori!$A$4:$C$73,2,FALSE)&lt;&gt;"",VLOOKUP(D145,Giocatori!$A$4:$C$73,2,FALSE),"Giocatore "&amp;D145),"Giocatore "&amp;D145)</x:f>
        <x:v>Notaro Giacomo</x:v>
      </x:c>
      <x:c r="F145" s="63" t="str"/>
      <x:c r="G145" s="63" t="str"/>
      <x:c r="H145" s="63" t="n">
        <x:v>0</x:v>
      </x:c>
      <x:c r="I145" s="72" t="str">
        <x:f>IF(OR(G145="",G145&lt;1,G145&gt;5),"",CHOOSE(G145,9,6,4,2,1)+2*IF(H145="",0,H145))</x:f>
      </x:c>
      <x:c r="J145" s="63" t="str"/>
    </x:row>
    <x:row r="146">
      <x:c r="A146" s="72" t="n">
        <x:v>3</x:v>
      </x:c>
      <x:c r="B146" s="72" t="str">
        <x:v>C</x:v>
      </x:c>
      <x:c r="C146" s="72" t="n">
        <x:v>2</x:v>
      </x:c>
      <x:c r="D146" s="72" t="n">
        <x:v>2</x:v>
      </x:c>
      <x:c r="E146" s="72" t="str">
        <x:f>IFERROR(IF(VLOOKUP(D146,Giocatori!$A$4:$C$73,2,FALSE)&lt;&gt;"",VLOOKUP(D146,Giocatori!$A$4:$C$73,2,FALSE),"Giocatore "&amp;D146),"Giocatore "&amp;D146)</x:f>
        <x:v>La Marca Carlo</x:v>
      </x:c>
      <x:c r="F146" s="63" t="str"/>
      <x:c r="G146" s="63" t="str"/>
      <x:c r="H146" s="63" t="n">
        <x:v>0</x:v>
      </x:c>
      <x:c r="I146" s="72" t="str">
        <x:f>IF(OR(G146="",G146&lt;1,G146&gt;5),"",CHOOSE(G146,9,6,4,2,1)+2*IF(H146="",0,H146))</x:f>
      </x:c>
      <x:c r="J146" s="63" t="str"/>
    </x:row>
    <x:row r="147">
      <x:c r="A147" s="72" t="n">
        <x:v>3</x:v>
      </x:c>
      <x:c r="B147" s="72" t="str">
        <x:v>C</x:v>
      </x:c>
      <x:c r="C147" s="72" t="n">
        <x:v>3</x:v>
      </x:c>
      <x:c r="D147" s="72" t="n">
        <x:v>58</x:v>
      </x:c>
      <x:c r="E147" s="72" t="str">
        <x:f>IFERROR(IF(VLOOKUP(D147,Giocatori!$A$4:$C$73,2,FALSE)&lt;&gt;"",VLOOKUP(D147,Giocatori!$A$4:$C$73,2,FALSE),"Giocatore "&amp;D147),"Giocatore "&amp;D147)</x:f>
        <x:v>Mauro Salvatore</x:v>
      </x:c>
      <x:c r="F147" s="63" t="str"/>
      <x:c r="G147" s="63" t="str"/>
      <x:c r="H147" s="63" t="n">
        <x:v>0</x:v>
      </x:c>
      <x:c r="I147" s="72" t="str">
        <x:f>IF(OR(G147="",G147&lt;1,G147&gt;5),"",CHOOSE(G147,9,6,4,2,1)+2*IF(H147="",0,H147))</x:f>
      </x:c>
      <x:c r="J147" s="63" t="str"/>
    </x:row>
    <x:row r="148">
      <x:c r="A148" s="72" t="n">
        <x:v>3</x:v>
      </x:c>
      <x:c r="B148" s="72" t="str">
        <x:v>C</x:v>
      </x:c>
      <x:c r="C148" s="72" t="n">
        <x:v>4</x:v>
      </x:c>
      <x:c r="D148" s="72" t="n">
        <x:v>49</x:v>
      </x:c>
      <x:c r="E148" s="72" t="str">
        <x:f>IFERROR(IF(VLOOKUP(D148,Giocatori!$A$4:$C$73,2,FALSE)&lt;&gt;"",VLOOKUP(D148,Giocatori!$A$4:$C$73,2,FALSE),"Giocatore "&amp;D148),"Giocatore "&amp;D148)</x:f>
        <x:v>Tufano Michele</x:v>
      </x:c>
      <x:c r="F148" s="63" t="str"/>
      <x:c r="G148" s="63" t="str"/>
      <x:c r="H148" s="63" t="n">
        <x:v>0</x:v>
      </x:c>
      <x:c r="I148" s="72" t="str">
        <x:f>IF(OR(G148="",G148&lt;1,G148&gt;5),"",CHOOSE(G148,9,6,4,2,1)+2*IF(H148="",0,H148))</x:f>
      </x:c>
      <x:c r="J148" s="63" t="str"/>
    </x:row>
    <x:row r="149">
      <x:c r="A149" s="72" t="n">
        <x:v>3</x:v>
      </x:c>
      <x:c r="B149" s="72" t="str">
        <x:v>C</x:v>
      </x:c>
      <x:c r="C149" s="72" t="n">
        <x:v>5</x:v>
      </x:c>
      <x:c r="D149" s="72" t="n">
        <x:v>40</x:v>
      </x:c>
      <x:c r="E149" s="72" t="str">
        <x:f>IFERROR(IF(VLOOKUP(D149,Giocatori!$A$4:$C$73,2,FALSE)&lt;&gt;"",VLOOKUP(D149,Giocatori!$A$4:$C$73,2,FALSE),"Giocatore "&amp;D149),"Giocatore "&amp;D149)</x:f>
        <x:v>Carbone Felice</x:v>
      </x:c>
      <x:c r="F149" s="63" t="str"/>
      <x:c r="G149" s="63" t="str"/>
      <x:c r="H149" s="63" t="n">
        <x:v>0</x:v>
      </x:c>
      <x:c r="I149" s="72" t="str">
        <x:f>IF(OR(G149="",G149&lt;1,G149&gt;5),"",CHOOSE(G149,9,6,4,2,1)+2*IF(H149="",0,H149))</x:f>
      </x:c>
      <x:c r="J149" s="63" t="str"/>
    </x:row>
    <x:row r="150">
      <x:c r="A150" s="72" t="n">
        <x:v>3</x:v>
      </x:c>
      <x:c r="B150" s="72" t="str">
        <x:v>D</x:v>
      </x:c>
      <x:c r="C150" s="72" t="n">
        <x:v>1</x:v>
      </x:c>
      <x:c r="D150" s="72" t="n">
        <x:v>16</x:v>
      </x:c>
      <x:c r="E150" s="72" t="str">
        <x:f>IFERROR(IF(VLOOKUP(D150,Giocatori!$A$4:$C$73,2,FALSE)&lt;&gt;"",VLOOKUP(D150,Giocatori!$A$4:$C$73,2,FALSE),"Giocatore "&amp;D150),"Giocatore "&amp;D150)</x:f>
        <x:v>Beracci Benedetto</x:v>
      </x:c>
      <x:c r="F150" s="63" t="str"/>
      <x:c r="G150" s="63" t="str"/>
      <x:c r="H150" s="63" t="n">
        <x:v>0</x:v>
      </x:c>
      <x:c r="I150" s="72" t="str">
        <x:f>IF(OR(G150="",G150&lt;1,G150&gt;5),"",CHOOSE(G150,9,6,4,2,1)+2*IF(H150="",0,H150))</x:f>
      </x:c>
      <x:c r="J150" s="63" t="str"/>
    </x:row>
    <x:row r="151">
      <x:c r="A151" s="72" t="n">
        <x:v>3</x:v>
      </x:c>
      <x:c r="B151" s="72" t="str">
        <x:v>D</x:v>
      </x:c>
      <x:c r="C151" s="72" t="n">
        <x:v>2</x:v>
      </x:c>
      <x:c r="D151" s="72" t="n">
        <x:v>7</x:v>
      </x:c>
      <x:c r="E151" s="72" t="str">
        <x:f>IFERROR(IF(VLOOKUP(D151,Giocatori!$A$4:$C$73,2,FALSE)&lt;&gt;"",VLOOKUP(D151,Giocatori!$A$4:$C$73,2,FALSE),"Giocatore "&amp;D151),"Giocatore "&amp;D151)</x:f>
        <x:v>Ambrosino Michele</x:v>
      </x:c>
      <x:c r="F151" s="63" t="str"/>
      <x:c r="G151" s="63" t="str"/>
      <x:c r="H151" s="63" t="n">
        <x:v>0</x:v>
      </x:c>
      <x:c r="I151" s="72" t="str">
        <x:f>IF(OR(G151="",G151&lt;1,G151&gt;5),"",CHOOSE(G151,9,6,4,2,1)+2*IF(H151="",0,H151))</x:f>
      </x:c>
      <x:c r="J151" s="63" t="str"/>
    </x:row>
    <x:row r="152">
      <x:c r="A152" s="72" t="n">
        <x:v>3</x:v>
      </x:c>
      <x:c r="B152" s="72" t="str">
        <x:v>D</x:v>
      </x:c>
      <x:c r="C152" s="72" t="n">
        <x:v>3</x:v>
      </x:c>
      <x:c r="D152" s="72" t="n">
        <x:v>63</x:v>
      </x:c>
      <x:c r="E152" s="72" t="str">
        <x:f>IFERROR(IF(VLOOKUP(D152,Giocatori!$A$4:$C$73,2,FALSE)&lt;&gt;"",VLOOKUP(D152,Giocatori!$A$4:$C$73,2,FALSE),"Giocatore "&amp;D152),"Giocatore "&amp;D152)</x:f>
        <x:v>Fuschillo Francesco</x:v>
      </x:c>
      <x:c r="F152" s="63" t="str"/>
      <x:c r="G152" s="63" t="str"/>
      <x:c r="H152" s="63" t="n">
        <x:v>0</x:v>
      </x:c>
      <x:c r="I152" s="72" t="str">
        <x:f>IF(OR(G152="",G152&lt;1,G152&gt;5),"",CHOOSE(G152,9,6,4,2,1)+2*IF(H152="",0,H152))</x:f>
      </x:c>
      <x:c r="J152" s="63" t="str"/>
    </x:row>
    <x:row r="153">
      <x:c r="A153" s="72" t="n">
        <x:v>3</x:v>
      </x:c>
      <x:c r="B153" s="72" t="str">
        <x:v>D</x:v>
      </x:c>
      <x:c r="C153" s="72" t="n">
        <x:v>4</x:v>
      </x:c>
      <x:c r="D153" s="72" t="n">
        <x:v>54</x:v>
      </x:c>
      <x:c r="E153" s="72" t="str">
        <x:f>IFERROR(IF(VLOOKUP(D153,Giocatori!$A$4:$C$73,2,FALSE)&lt;&gt;"",VLOOKUP(D153,Giocatori!$A$4:$C$73,2,FALSE),"Giocatore "&amp;D153),"Giocatore "&amp;D153)</x:f>
        <x:v>Giugliano Domenico</x:v>
      </x:c>
      <x:c r="F153" s="63" t="str"/>
      <x:c r="G153" s="63" t="str"/>
      <x:c r="H153" s="63" t="n">
        <x:v>0</x:v>
      </x:c>
      <x:c r="I153" s="72" t="str">
        <x:f>IF(OR(G153="",G153&lt;1,G153&gt;5),"",CHOOSE(G153,9,6,4,2,1)+2*IF(H153="",0,H153))</x:f>
      </x:c>
      <x:c r="J153" s="63" t="str"/>
    </x:row>
    <x:row r="154">
      <x:c r="A154" s="72" t="n">
        <x:v>3</x:v>
      </x:c>
      <x:c r="B154" s="72" t="str">
        <x:v>D</x:v>
      </x:c>
      <x:c r="C154" s="72" t="n">
        <x:v>5</x:v>
      </x:c>
      <x:c r="D154" s="72" t="n">
        <x:v>45</x:v>
      </x:c>
      <x:c r="E154" s="72" t="str">
        <x:f>IFERROR(IF(VLOOKUP(D154,Giocatori!$A$4:$C$73,2,FALSE)&lt;&gt;"",VLOOKUP(D154,Giocatori!$A$4:$C$73,2,FALSE),"Giocatore "&amp;D154),"Giocatore "&amp;D154)</x:f>
        <x:v>Isernia Antonio</x:v>
      </x:c>
      <x:c r="F154" s="63" t="str"/>
      <x:c r="G154" s="63" t="str"/>
      <x:c r="H154" s="63" t="n">
        <x:v>0</x:v>
      </x:c>
      <x:c r="I154" s="72" t="str">
        <x:f>IF(OR(G154="",G154&lt;1,G154&gt;5),"",CHOOSE(G154,9,6,4,2,1)+2*IF(H154="",0,H154))</x:f>
      </x:c>
      <x:c r="J154" s="63" t="str"/>
    </x:row>
    <x:row r="155">
      <x:c r="A155" s="72" t="n">
        <x:v>3</x:v>
      </x:c>
      <x:c r="B155" s="72" t="str">
        <x:v>E</x:v>
      </x:c>
      <x:c r="C155" s="72" t="n">
        <x:v>1</x:v>
      </x:c>
      <x:c r="D155" s="72" t="n">
        <x:v>21</x:v>
      </x:c>
      <x:c r="E155" s="72" t="str">
        <x:f>IFERROR(IF(VLOOKUP(D155,Giocatori!$A$4:$C$73,2,FALSE)&lt;&gt;"",VLOOKUP(D155,Giocatori!$A$4:$C$73,2,FALSE),"Giocatore "&amp;D155),"Giocatore "&amp;D155)</x:f>
        <x:v>Tufano Raffaele</x:v>
      </x:c>
      <x:c r="F155" s="63" t="str"/>
      <x:c r="G155" s="63" t="str"/>
      <x:c r="H155" s="63" t="n">
        <x:v>0</x:v>
      </x:c>
      <x:c r="I155" s="72" t="str">
        <x:f>IF(OR(G155="",G155&lt;1,G155&gt;5),"",CHOOSE(G155,9,6,4,2,1)+2*IF(H155="",0,H155))</x:f>
      </x:c>
      <x:c r="J155" s="63" t="str"/>
    </x:row>
    <x:row r="156">
      <x:c r="A156" s="72" t="n">
        <x:v>3</x:v>
      </x:c>
      <x:c r="B156" s="72" t="str">
        <x:v>E</x:v>
      </x:c>
      <x:c r="C156" s="72" t="n">
        <x:v>2</x:v>
      </x:c>
      <x:c r="D156" s="72" t="n">
        <x:v>12</x:v>
      </x:c>
      <x:c r="E156" s="72" t="str">
        <x:f>IFERROR(IF(VLOOKUP(D156,Giocatori!$A$4:$C$73,2,FALSE)&lt;&gt;"",VLOOKUP(D156,Giocatori!$A$4:$C$73,2,FALSE),"Giocatore "&amp;D156),"Giocatore "&amp;D156)</x:f>
        <x:v>Scognamiglio Alfredo</x:v>
      </x:c>
      <x:c r="F156" s="63" t="str"/>
      <x:c r="G156" s="63" t="str"/>
      <x:c r="H156" s="63" t="n">
        <x:v>0</x:v>
      </x:c>
      <x:c r="I156" s="72" t="str">
        <x:f>IF(OR(G156="",G156&lt;1,G156&gt;5),"",CHOOSE(G156,9,6,4,2,1)+2*IF(H156="",0,H156))</x:f>
      </x:c>
      <x:c r="J156" s="63" t="str"/>
    </x:row>
    <x:row r="157">
      <x:c r="A157" s="72" t="n">
        <x:v>3</x:v>
      </x:c>
      <x:c r="B157" s="72" t="str">
        <x:v>E</x:v>
      </x:c>
      <x:c r="C157" s="72" t="n">
        <x:v>3</x:v>
      </x:c>
      <x:c r="D157" s="72" t="n">
        <x:v>3</x:v>
      </x:c>
      <x:c r="E157" s="72" t="str">
        <x:f>IFERROR(IF(VLOOKUP(D157,Giocatori!$A$4:$C$73,2,FALSE)&lt;&gt;"",VLOOKUP(D157,Giocatori!$A$4:$C$73,2,FALSE),"Giocatore "&amp;D157),"Giocatore "&amp;D157)</x:f>
        <x:v>Sommese Antonio</x:v>
      </x:c>
      <x:c r="F157" s="63" t="str"/>
      <x:c r="G157" s="63" t="str"/>
      <x:c r="H157" s="63" t="n">
        <x:v>0</x:v>
      </x:c>
      <x:c r="I157" s="72" t="str">
        <x:f>IF(OR(G157="",G157&lt;1,G157&gt;5),"",CHOOSE(G157,9,6,4,2,1)+2*IF(H157="",0,H157))</x:f>
      </x:c>
      <x:c r="J157" s="63" t="str"/>
    </x:row>
    <x:row r="158">
      <x:c r="A158" s="72" t="n">
        <x:v>3</x:v>
      </x:c>
      <x:c r="B158" s="72" t="str">
        <x:v>E</x:v>
      </x:c>
      <x:c r="C158" s="72" t="n">
        <x:v>4</x:v>
      </x:c>
      <x:c r="D158" s="72" t="n">
        <x:v>59</x:v>
      </x:c>
      <x:c r="E158" s="72" t="str">
        <x:f>IFERROR(IF(VLOOKUP(D158,Giocatori!$A$4:$C$73,2,FALSE)&lt;&gt;"",VLOOKUP(D158,Giocatori!$A$4:$C$73,2,FALSE),"Giocatore "&amp;D158),"Giocatore "&amp;D158)</x:f>
        <x:v>Angiero Anna</x:v>
      </x:c>
      <x:c r="F158" s="63" t="str"/>
      <x:c r="G158" s="63" t="str"/>
      <x:c r="H158" s="63" t="n">
        <x:v>0</x:v>
      </x:c>
      <x:c r="I158" s="72" t="str">
        <x:f>IF(OR(G158="",G158&lt;1,G158&gt;5),"",CHOOSE(G158,9,6,4,2,1)+2*IF(H158="",0,H158))</x:f>
      </x:c>
      <x:c r="J158" s="63" t="str"/>
    </x:row>
    <x:row r="159">
      <x:c r="A159" s="72" t="n">
        <x:v>3</x:v>
      </x:c>
      <x:c r="B159" s="72" t="str">
        <x:v>E</x:v>
      </x:c>
      <x:c r="C159" s="72" t="n">
        <x:v>5</x:v>
      </x:c>
      <x:c r="D159" s="72" t="n">
        <x:v>50</x:v>
      </x:c>
      <x:c r="E159" s="72" t="str">
        <x:f>IFERROR(IF(VLOOKUP(D159,Giocatori!$A$4:$C$73,2,FALSE)&lt;&gt;"",VLOOKUP(D159,Giocatori!$A$4:$C$73,2,FALSE),"Giocatore "&amp;D159),"Giocatore "&amp;D159)</x:f>
        <x:v>Bartolo</x:v>
      </x:c>
      <x:c r="F159" s="63" t="str"/>
      <x:c r="G159" s="63" t="str"/>
      <x:c r="H159" s="63" t="n">
        <x:v>0</x:v>
      </x:c>
      <x:c r="I159" s="72" t="str">
        <x:f>IF(OR(G159="",G159&lt;1,G159&gt;5),"",CHOOSE(G159,9,6,4,2,1)+2*IF(H159="",0,H159))</x:f>
      </x:c>
      <x:c r="J159" s="63" t="str"/>
    </x:row>
    <x:row r="160">
      <x:c r="A160" s="72" t="n">
        <x:v>3</x:v>
      </x:c>
      <x:c r="B160" s="72" t="str">
        <x:v>F</x:v>
      </x:c>
      <x:c r="C160" s="72" t="n">
        <x:v>1</x:v>
      </x:c>
      <x:c r="D160" s="72" t="n">
        <x:v>26</x:v>
      </x:c>
      <x:c r="E160" s="72" t="str">
        <x:f>IFERROR(IF(VLOOKUP(D160,Giocatori!$A$4:$C$73,2,FALSE)&lt;&gt;"",VLOOKUP(D160,Giocatori!$A$4:$C$73,2,FALSE),"Giocatore "&amp;D160),"Giocatore "&amp;D160)</x:f>
        <x:v>Gesso Marco</x:v>
      </x:c>
      <x:c r="F160" s="63" t="str"/>
      <x:c r="G160" s="63" t="str"/>
      <x:c r="H160" s="63" t="n">
        <x:v>0</x:v>
      </x:c>
      <x:c r="I160" s="72" t="str">
        <x:f>IF(OR(G160="",G160&lt;1,G160&gt;5),"",CHOOSE(G160,9,6,4,2,1)+2*IF(H160="",0,H160))</x:f>
      </x:c>
      <x:c r="J160" s="63" t="str"/>
    </x:row>
    <x:row r="161">
      <x:c r="A161" s="72" t="n">
        <x:v>3</x:v>
      </x:c>
      <x:c r="B161" s="72" t="str">
        <x:v>F</x:v>
      </x:c>
      <x:c r="C161" s="72" t="n">
        <x:v>2</x:v>
      </x:c>
      <x:c r="D161" s="72" t="n">
        <x:v>17</x:v>
      </x:c>
      <x:c r="E161" s="72" t="str">
        <x:f>IFERROR(IF(VLOOKUP(D161,Giocatori!$A$4:$C$73,2,FALSE)&lt;&gt;"",VLOOKUP(D161,Giocatori!$A$4:$C$73,2,FALSE),"Giocatore "&amp;D161),"Giocatore "&amp;D161)</x:f>
        <x:v>Tufano Giovanni</x:v>
      </x:c>
      <x:c r="F161" s="63" t="str"/>
      <x:c r="G161" s="63" t="str"/>
      <x:c r="H161" s="63" t="n">
        <x:v>0</x:v>
      </x:c>
      <x:c r="I161" s="72" t="str">
        <x:f>IF(OR(G161="",G161&lt;1,G161&gt;5),"",CHOOSE(G161,9,6,4,2,1)+2*IF(H161="",0,H161))</x:f>
      </x:c>
      <x:c r="J161" s="63" t="str"/>
    </x:row>
    <x:row r="162">
      <x:c r="A162" s="72" t="n">
        <x:v>3</x:v>
      </x:c>
      <x:c r="B162" s="72" t="str">
        <x:v>F</x:v>
      </x:c>
      <x:c r="C162" s="72" t="n">
        <x:v>3</x:v>
      </x:c>
      <x:c r="D162" s="72" t="n">
        <x:v>8</x:v>
      </x:c>
      <x:c r="E162" s="72" t="str">
        <x:f>IFERROR(IF(VLOOKUP(D162,Giocatori!$A$4:$C$73,2,FALSE)&lt;&gt;"",VLOOKUP(D162,Giocatori!$A$4:$C$73,2,FALSE),"Giocatore "&amp;D162),"Giocatore "&amp;D162)</x:f>
        <x:v>Ambrosino Raffaele</x:v>
      </x:c>
      <x:c r="F162" s="63" t="str"/>
      <x:c r="G162" s="63" t="str"/>
      <x:c r="H162" s="63" t="n">
        <x:v>0</x:v>
      </x:c>
      <x:c r="I162" s="72" t="str">
        <x:f>IF(OR(G162="",G162&lt;1,G162&gt;5),"",CHOOSE(G162,9,6,4,2,1)+2*IF(H162="",0,H162))</x:f>
      </x:c>
      <x:c r="J162" s="63" t="str"/>
    </x:row>
    <x:row r="163">
      <x:c r="A163" s="72" t="n">
        <x:v>3</x:v>
      </x:c>
      <x:c r="B163" s="72" t="str">
        <x:v>F</x:v>
      </x:c>
      <x:c r="C163" s="72" t="n">
        <x:v>4</x:v>
      </x:c>
      <x:c r="D163" s="72" t="n">
        <x:v>64</x:v>
      </x:c>
      <x:c r="E163" s="72" t="str">
        <x:f>IFERROR(IF(VLOOKUP(D163,Giocatori!$A$4:$C$73,2,FALSE)&lt;&gt;"",VLOOKUP(D163,Giocatori!$A$4:$C$73,2,FALSE),"Giocatore "&amp;D163),"Giocatore "&amp;D163)</x:f>
        <x:v>Tufano Michele 2</x:v>
      </x:c>
      <x:c r="F163" s="63" t="str"/>
      <x:c r="G163" s="63" t="str"/>
      <x:c r="H163" s="63" t="n">
        <x:v>0</x:v>
      </x:c>
      <x:c r="I163" s="72" t="str">
        <x:f>IF(OR(G163="",G163&lt;1,G163&gt;5),"",CHOOSE(G163,9,6,4,2,1)+2*IF(H163="",0,H163))</x:f>
      </x:c>
      <x:c r="J163" s="63" t="str"/>
    </x:row>
    <x:row r="164">
      <x:c r="A164" s="72" t="n">
        <x:v>3</x:v>
      </x:c>
      <x:c r="B164" s="72" t="str">
        <x:v>F</x:v>
      </x:c>
      <x:c r="C164" s="72" t="n">
        <x:v>5</x:v>
      </x:c>
      <x:c r="D164" s="72" t="n">
        <x:v>55</x:v>
      </x:c>
      <x:c r="E164" s="72" t="str">
        <x:f>IFERROR(IF(VLOOKUP(D164,Giocatori!$A$4:$C$73,2,FALSE)&lt;&gt;"",VLOOKUP(D164,Giocatori!$A$4:$C$73,2,FALSE),"Giocatore "&amp;D164),"Giocatore "&amp;D164)</x:f>
        <x:v>Montanera Raffaele</x:v>
      </x:c>
      <x:c r="F164" s="63" t="str"/>
      <x:c r="G164" s="63" t="str"/>
      <x:c r="H164" s="63" t="n">
        <x:v>0</x:v>
      </x:c>
      <x:c r="I164" s="72" t="str">
        <x:f>IF(OR(G164="",G164&lt;1,G164&gt;5),"",CHOOSE(G164,9,6,4,2,1)+2*IF(H164="",0,H164))</x:f>
      </x:c>
      <x:c r="J164" s="63" t="str"/>
    </x:row>
    <x:row r="165">
      <x:c r="A165" s="72" t="n">
        <x:v>3</x:v>
      </x:c>
      <x:c r="B165" s="72" t="str">
        <x:v>G</x:v>
      </x:c>
      <x:c r="C165" s="72" t="n">
        <x:v>1</x:v>
      </x:c>
      <x:c r="D165" s="72" t="n">
        <x:v>31</x:v>
      </x:c>
      <x:c r="E165" s="72" t="str">
        <x:f>IFERROR(IF(VLOOKUP(D165,Giocatori!$A$4:$C$73,2,FALSE)&lt;&gt;"",VLOOKUP(D165,Giocatori!$A$4:$C$73,2,FALSE),"Giocatore "&amp;D165),"Giocatore "&amp;D165)</x:f>
        <x:v>Polacco Tommaso</x:v>
      </x:c>
      <x:c r="F165" s="63" t="str"/>
      <x:c r="G165" s="63" t="str"/>
      <x:c r="H165" s="63" t="n">
        <x:v>0</x:v>
      </x:c>
      <x:c r="I165" s="72" t="str">
        <x:f>IF(OR(G165="",G165&lt;1,G165&gt;5),"",CHOOSE(G165,9,6,4,2,1)+2*IF(H165="",0,H165))</x:f>
      </x:c>
      <x:c r="J165" s="63" t="str"/>
    </x:row>
    <x:row r="166">
      <x:c r="A166" s="72" t="n">
        <x:v>3</x:v>
      </x:c>
      <x:c r="B166" s="72" t="str">
        <x:v>G</x:v>
      </x:c>
      <x:c r="C166" s="72" t="n">
        <x:v>2</x:v>
      </x:c>
      <x:c r="D166" s="72" t="n">
        <x:v>22</x:v>
      </x:c>
      <x:c r="E166" s="72" t="str">
        <x:f>IFERROR(IF(VLOOKUP(D166,Giocatori!$A$4:$C$73,2,FALSE)&lt;&gt;"",VLOOKUP(D166,Giocatori!$A$4:$C$73,2,FALSE),"Giocatore "&amp;D166),"Giocatore "&amp;D166)</x:f>
        <x:v>Napolitano Antonio</x:v>
      </x:c>
      <x:c r="F166" s="63" t="str"/>
      <x:c r="G166" s="63" t="str"/>
      <x:c r="H166" s="63" t="n">
        <x:v>0</x:v>
      </x:c>
      <x:c r="I166" s="72" t="str">
        <x:f>IF(OR(G166="",G166&lt;1,G166&gt;5),"",CHOOSE(G166,9,6,4,2,1)+2*IF(H166="",0,H166))</x:f>
      </x:c>
      <x:c r="J166" s="63" t="str"/>
    </x:row>
    <x:row r="167">
      <x:c r="A167" s="72" t="n">
        <x:v>3</x:v>
      </x:c>
      <x:c r="B167" s="72" t="str">
        <x:v>G</x:v>
      </x:c>
      <x:c r="C167" s="72" t="n">
        <x:v>3</x:v>
      </x:c>
      <x:c r="D167" s="72" t="n">
        <x:v>13</x:v>
      </x:c>
      <x:c r="E167" s="72" t="str">
        <x:f>IFERROR(IF(VLOOKUP(D167,Giocatori!$A$4:$C$73,2,FALSE)&lt;&gt;"",VLOOKUP(D167,Giocatori!$A$4:$C$73,2,FALSE),"Giocatore "&amp;D167),"Giocatore "&amp;D167)</x:f>
        <x:v>Del Vecchio Diego</x:v>
      </x:c>
      <x:c r="F167" s="63" t="str"/>
      <x:c r="G167" s="63" t="str"/>
      <x:c r="H167" s="63" t="n">
        <x:v>0</x:v>
      </x:c>
      <x:c r="I167" s="72" t="str">
        <x:f>IF(OR(G167="",G167&lt;1,G167&gt;5),"",CHOOSE(G167,9,6,4,2,1)+2*IF(H167="",0,H167))</x:f>
      </x:c>
      <x:c r="J167" s="63" t="str"/>
    </x:row>
    <x:row r="168">
      <x:c r="A168" s="72" t="n">
        <x:v>3</x:v>
      </x:c>
      <x:c r="B168" s="72" t="str">
        <x:v>G</x:v>
      </x:c>
      <x:c r="C168" s="72" t="n">
        <x:v>4</x:v>
      </x:c>
      <x:c r="D168" s="72" t="n">
        <x:v>4</x:v>
      </x:c>
      <x:c r="E168" s="72" t="str">
        <x:f>IFERROR(IF(VLOOKUP(D168,Giocatori!$A$4:$C$73,2,FALSE)&lt;&gt;"",VLOOKUP(D168,Giocatori!$A$4:$C$73,2,FALSE),"Giocatore "&amp;D168),"Giocatore "&amp;D168)</x:f>
        <x:v>Annunziata Raffaele</x:v>
      </x:c>
      <x:c r="F168" s="63" t="str"/>
      <x:c r="G168" s="63" t="str"/>
      <x:c r="H168" s="63" t="n">
        <x:v>0</x:v>
      </x:c>
      <x:c r="I168" s="72" t="str">
        <x:f>IF(OR(G168="",G168&lt;1,G168&gt;5),"",CHOOSE(G168,9,6,4,2,1)+2*IF(H168="",0,H168))</x:f>
      </x:c>
      <x:c r="J168" s="63" t="str"/>
    </x:row>
    <x:row r="169">
      <x:c r="A169" s="72" t="n">
        <x:v>3</x:v>
      </x:c>
      <x:c r="B169" s="72" t="str">
        <x:v>G</x:v>
      </x:c>
      <x:c r="C169" s="72" t="n">
        <x:v>5</x:v>
      </x:c>
      <x:c r="D169" s="72" t="n">
        <x:v>60</x:v>
      </x:c>
      <x:c r="E169" s="72" t="str">
        <x:f>IFERROR(IF(VLOOKUP(D169,Giocatori!$A$4:$C$73,2,FALSE)&lt;&gt;"",VLOOKUP(D169,Giocatori!$A$4:$C$73,2,FALSE),"Giocatore "&amp;D169),"Giocatore "&amp;D169)</x:f>
        <x:v>Di Grazia Salvatore</x:v>
      </x:c>
      <x:c r="F169" s="63" t="str"/>
      <x:c r="G169" s="63" t="str"/>
      <x:c r="H169" s="63" t="n">
        <x:v>0</x:v>
      </x:c>
      <x:c r="I169" s="72" t="str">
        <x:f>IF(OR(G169="",G169&lt;1,G169&gt;5),"",CHOOSE(G169,9,6,4,2,1)+2*IF(H169="",0,H169))</x:f>
      </x:c>
      <x:c r="J169" s="63" t="str"/>
    </x:row>
    <x:row r="170">
      <x:c r="A170" s="72" t="n">
        <x:v>3</x:v>
      </x:c>
      <x:c r="B170" s="72" t="str">
        <x:v>H</x:v>
      </x:c>
      <x:c r="C170" s="72" t="n">
        <x:v>1</x:v>
      </x:c>
      <x:c r="D170" s="72" t="n">
        <x:v>36</x:v>
      </x:c>
      <x:c r="E170" s="72" t="str">
        <x:f>IFERROR(IF(VLOOKUP(D170,Giocatori!$A$4:$C$73,2,FALSE)&lt;&gt;"",VLOOKUP(D170,Giocatori!$A$4:$C$73,2,FALSE),"Giocatore "&amp;D170),"Giocatore "&amp;D170)</x:f>
        <x:v>Moccia Biagio</x:v>
      </x:c>
      <x:c r="F170" s="63" t="str"/>
      <x:c r="G170" s="63" t="str"/>
      <x:c r="H170" s="63" t="n">
        <x:v>0</x:v>
      </x:c>
      <x:c r="I170" s="72" t="str">
        <x:f>IF(OR(G170="",G170&lt;1,G170&gt;5),"",CHOOSE(G170,9,6,4,2,1)+2*IF(H170="",0,H170))</x:f>
      </x:c>
      <x:c r="J170" s="63" t="str"/>
    </x:row>
    <x:row r="171">
      <x:c r="A171" s="72" t="n">
        <x:v>3</x:v>
      </x:c>
      <x:c r="B171" s="72" t="str">
        <x:v>H</x:v>
      </x:c>
      <x:c r="C171" s="72" t="n">
        <x:v>2</x:v>
      </x:c>
      <x:c r="D171" s="72" t="n">
        <x:v>27</x:v>
      </x:c>
      <x:c r="E171" s="72" t="str">
        <x:f>IFERROR(IF(VLOOKUP(D171,Giocatori!$A$4:$C$73,2,FALSE)&lt;&gt;"",VLOOKUP(D171,Giocatori!$A$4:$C$73,2,FALSE),"Giocatore "&amp;D171),"Giocatore "&amp;D171)</x:f>
        <x:v>Napolitano Angelo</x:v>
      </x:c>
      <x:c r="F171" s="63" t="str"/>
      <x:c r="G171" s="63" t="str"/>
      <x:c r="H171" s="63" t="n">
        <x:v>0</x:v>
      </x:c>
      <x:c r="I171" s="72" t="str">
        <x:f>IF(OR(G171="",G171&lt;1,G171&gt;5),"",CHOOSE(G171,9,6,4,2,1)+2*IF(H171="",0,H171))</x:f>
      </x:c>
      <x:c r="J171" s="63" t="str"/>
    </x:row>
    <x:row r="172">
      <x:c r="A172" s="72" t="n">
        <x:v>3</x:v>
      </x:c>
      <x:c r="B172" s="72" t="str">
        <x:v>H</x:v>
      </x:c>
      <x:c r="C172" s="72" t="n">
        <x:v>3</x:v>
      </x:c>
      <x:c r="D172" s="72" t="n">
        <x:v>18</x:v>
      </x:c>
      <x:c r="E172" s="72" t="str">
        <x:f>IFERROR(IF(VLOOKUP(D172,Giocatori!$A$4:$C$73,2,FALSE)&lt;&gt;"",VLOOKUP(D172,Giocatori!$A$4:$C$73,2,FALSE),"Giocatore "&amp;D172),"Giocatore "&amp;D172)</x:f>
        <x:v>Ambrosino Gabriele</x:v>
      </x:c>
      <x:c r="F172" s="63" t="str"/>
      <x:c r="G172" s="63" t="str"/>
      <x:c r="H172" s="63" t="n">
        <x:v>0</x:v>
      </x:c>
      <x:c r="I172" s="72" t="str">
        <x:f>IF(OR(G172="",G172&lt;1,G172&gt;5),"",CHOOSE(G172,9,6,4,2,1)+2*IF(H172="",0,H172))</x:f>
      </x:c>
      <x:c r="J172" s="63" t="str"/>
    </x:row>
    <x:row r="173">
      <x:c r="A173" s="72" t="n">
        <x:v>3</x:v>
      </x:c>
      <x:c r="B173" s="72" t="str">
        <x:v>H</x:v>
      </x:c>
      <x:c r="C173" s="72" t="n">
        <x:v>4</x:v>
      </x:c>
      <x:c r="D173" s="72" t="n">
        <x:v>9</x:v>
      </x:c>
      <x:c r="E173" s="72" t="str">
        <x:f>IFERROR(IF(VLOOKUP(D173,Giocatori!$A$4:$C$73,2,FALSE)&lt;&gt;"",VLOOKUP(D173,Giocatori!$A$4:$C$73,2,FALSE),"Giocatore "&amp;D173),"Giocatore "&amp;D173)</x:f>
        <x:v>Nappo Angelo</x:v>
      </x:c>
      <x:c r="F173" s="63" t="str"/>
      <x:c r="G173" s="63" t="str"/>
      <x:c r="H173" s="63" t="n">
        <x:v>0</x:v>
      </x:c>
      <x:c r="I173" s="72" t="str">
        <x:f>IF(OR(G173="",G173&lt;1,G173&gt;5),"",CHOOSE(G173,9,6,4,2,1)+2*IF(H173="",0,H173))</x:f>
      </x:c>
      <x:c r="J173" s="63" t="str"/>
    </x:row>
    <x:row r="174">
      <x:c r="A174" s="72" t="n">
        <x:v>3</x:v>
      </x:c>
      <x:c r="B174" s="72" t="str">
        <x:v>H</x:v>
      </x:c>
      <x:c r="C174" s="72" t="n">
        <x:v>5</x:v>
      </x:c>
      <x:c r="D174" s="72" t="n">
        <x:v>65</x:v>
      </x:c>
      <x:c r="E174" s="72" t="str">
        <x:f>IFERROR(IF(VLOOKUP(D174,Giocatori!$A$4:$C$73,2,FALSE)&lt;&gt;"",VLOOKUP(D174,Giocatori!$A$4:$C$73,2,FALSE),"Giocatore "&amp;D174),"Giocatore "&amp;D174)</x:f>
        <x:v>Tufano Michele 3</x:v>
      </x:c>
      <x:c r="F174" s="63" t="str"/>
      <x:c r="G174" s="63" t="str"/>
      <x:c r="H174" s="63" t="n">
        <x:v>0</x:v>
      </x:c>
      <x:c r="I174" s="72" t="str">
        <x:f>IF(OR(G174="",G174&lt;1,G174&gt;5),"",CHOOSE(G174,9,6,4,2,1)+2*IF(H174="",0,H174))</x:f>
      </x:c>
      <x:c r="J174" s="63" t="str"/>
    </x:row>
    <x:row r="175">
      <x:c r="A175" s="72" t="n">
        <x:v>3</x:v>
      </x:c>
      <x:c r="B175" s="72" t="str">
        <x:v>I</x:v>
      </x:c>
      <x:c r="C175" s="72" t="n">
        <x:v>1</x:v>
      </x:c>
      <x:c r="D175" s="72" t="n">
        <x:v>41</x:v>
      </x:c>
      <x:c r="E175" s="72" t="str">
        <x:f>IFERROR(IF(VLOOKUP(D175,Giocatori!$A$4:$C$73,2,FALSE)&lt;&gt;"",VLOOKUP(D175,Giocatori!$A$4:$C$73,2,FALSE),"Giocatore "&amp;D175),"Giocatore "&amp;D175)</x:f>
        <x:v>Nocerino Nunzio</x:v>
      </x:c>
      <x:c r="F175" s="63" t="str"/>
      <x:c r="G175" s="63" t="str"/>
      <x:c r="H175" s="63" t="n">
        <x:v>0</x:v>
      </x:c>
      <x:c r="I175" s="72" t="str">
        <x:f>IF(OR(G175="",G175&lt;1,G175&gt;5),"",CHOOSE(G175,9,6,4,2,1)+2*IF(H175="",0,H175))</x:f>
      </x:c>
      <x:c r="J175" s="63" t="str"/>
    </x:row>
    <x:row r="176">
      <x:c r="A176" s="72" t="n">
        <x:v>3</x:v>
      </x:c>
      <x:c r="B176" s="72" t="str">
        <x:v>I</x:v>
      </x:c>
      <x:c r="C176" s="72" t="n">
        <x:v>2</x:v>
      </x:c>
      <x:c r="D176" s="72" t="n">
        <x:v>32</x:v>
      </x:c>
      <x:c r="E176" s="72" t="str">
        <x:f>IFERROR(IF(VLOOKUP(D176,Giocatori!$A$4:$C$73,2,FALSE)&lt;&gt;"",VLOOKUP(D176,Giocatori!$A$4:$C$73,2,FALSE),"Giocatore "&amp;D176),"Giocatore "&amp;D176)</x:f>
        <x:v>Marotta Pasquale</x:v>
      </x:c>
      <x:c r="F176" s="63" t="str"/>
      <x:c r="G176" s="63" t="str"/>
      <x:c r="H176" s="63" t="n">
        <x:v>0</x:v>
      </x:c>
      <x:c r="I176" s="72" t="str">
        <x:f>IF(OR(G176="",G176&lt;1,G176&gt;5),"",CHOOSE(G176,9,6,4,2,1)+2*IF(H176="",0,H176))</x:f>
      </x:c>
      <x:c r="J176" s="63" t="str"/>
    </x:row>
    <x:row r="177">
      <x:c r="A177" s="72" t="n">
        <x:v>3</x:v>
      </x:c>
      <x:c r="B177" s="72" t="str">
        <x:v>I</x:v>
      </x:c>
      <x:c r="C177" s="72" t="n">
        <x:v>3</x:v>
      </x:c>
      <x:c r="D177" s="72" t="n">
        <x:v>23</x:v>
      </x:c>
      <x:c r="E177" s="72" t="str">
        <x:f>IFERROR(IF(VLOOKUP(D177,Giocatori!$A$4:$C$73,2,FALSE)&lt;&gt;"",VLOOKUP(D177,Giocatori!$A$4:$C$73,2,FALSE),"Giocatore "&amp;D177),"Giocatore "&amp;D177)</x:f>
        <x:v>Notaro Massimo</x:v>
      </x:c>
      <x:c r="F177" s="63" t="str"/>
      <x:c r="G177" s="63" t="str"/>
      <x:c r="H177" s="63" t="n">
        <x:v>0</x:v>
      </x:c>
      <x:c r="I177" s="72" t="str">
        <x:f>IF(OR(G177="",G177&lt;1,G177&gt;5),"",CHOOSE(G177,9,6,4,2,1)+2*IF(H177="",0,H177))</x:f>
      </x:c>
      <x:c r="J177" s="63" t="str"/>
    </x:row>
    <x:row r="178">
      <x:c r="A178" s="72" t="n">
        <x:v>3</x:v>
      </x:c>
      <x:c r="B178" s="72" t="str">
        <x:v>I</x:v>
      </x:c>
      <x:c r="C178" s="72" t="n">
        <x:v>4</x:v>
      </x:c>
      <x:c r="D178" s="72" t="n">
        <x:v>14</x:v>
      </x:c>
      <x:c r="E178" s="72" t="str">
        <x:f>IFERROR(IF(VLOOKUP(D178,Giocatori!$A$4:$C$73,2,FALSE)&lt;&gt;"",VLOOKUP(D178,Giocatori!$A$4:$C$73,2,FALSE),"Giocatore "&amp;D178),"Giocatore "&amp;D178)</x:f>
        <x:v>Beracci Lucio</x:v>
      </x:c>
      <x:c r="F178" s="63" t="str"/>
      <x:c r="G178" s="63" t="str"/>
      <x:c r="H178" s="63" t="n">
        <x:v>0</x:v>
      </x:c>
      <x:c r="I178" s="72" t="str">
        <x:f>IF(OR(G178="",G178&lt;1,G178&gt;5),"",CHOOSE(G178,9,6,4,2,1)+2*IF(H178="",0,H178))</x:f>
      </x:c>
      <x:c r="J178" s="63" t="str"/>
    </x:row>
    <x:row r="179">
      <x:c r="A179" s="72" t="n">
        <x:v>3</x:v>
      </x:c>
      <x:c r="B179" s="72" t="str">
        <x:v>I</x:v>
      </x:c>
      <x:c r="C179" s="72" t="n">
        <x:v>5</x:v>
      </x:c>
      <x:c r="D179" s="72" t="n">
        <x:v>5</x:v>
      </x:c>
      <x:c r="E179" s="72" t="str">
        <x:f>IFERROR(IF(VLOOKUP(D179,Giocatori!$A$4:$C$73,2,FALSE)&lt;&gt;"",VLOOKUP(D179,Giocatori!$A$4:$C$73,2,FALSE),"Giocatore "&amp;D179),"Giocatore "&amp;D179)</x:f>
        <x:v>La Marca Pasquale</x:v>
      </x:c>
      <x:c r="F179" s="63" t="str"/>
      <x:c r="G179" s="63" t="str"/>
      <x:c r="H179" s="63" t="n">
        <x:v>0</x:v>
      </x:c>
      <x:c r="I179" s="72" t="str">
        <x:f>IF(OR(G179="",G179&lt;1,G179&gt;5),"",CHOOSE(G179,9,6,4,2,1)+2*IF(H179="",0,H179))</x:f>
      </x:c>
      <x:c r="J179" s="63" t="str"/>
    </x:row>
    <x:row r="180">
      <x:c r="A180" s="72" t="n">
        <x:v>3</x:v>
      </x:c>
      <x:c r="B180" s="72" t="str">
        <x:v>J</x:v>
      </x:c>
      <x:c r="C180" s="72" t="n">
        <x:v>1</x:v>
      </x:c>
      <x:c r="D180" s="72" t="n">
        <x:v>46</x:v>
      </x:c>
      <x:c r="E180" s="72" t="str">
        <x:f>IFERROR(IF(VLOOKUP(D180,Giocatori!$A$4:$C$73,2,FALSE)&lt;&gt;"",VLOOKUP(D180,Giocatori!$A$4:$C$73,2,FALSE),"Giocatore "&amp;D180),"Giocatore "&amp;D180)</x:f>
        <x:v>Cafarelli Manolo</x:v>
      </x:c>
      <x:c r="F180" s="63" t="str"/>
      <x:c r="G180" s="63" t="str"/>
      <x:c r="H180" s="63" t="n">
        <x:v>0</x:v>
      </x:c>
      <x:c r="I180" s="72" t="str">
        <x:f>IF(OR(G180="",G180&lt;1,G180&gt;5),"",CHOOSE(G180,9,6,4,2,1)+2*IF(H180="",0,H180))</x:f>
      </x:c>
      <x:c r="J180" s="63" t="str"/>
    </x:row>
    <x:row r="181">
      <x:c r="A181" s="72" t="n">
        <x:v>3</x:v>
      </x:c>
      <x:c r="B181" s="72" t="str">
        <x:v>J</x:v>
      </x:c>
      <x:c r="C181" s="72" t="n">
        <x:v>2</x:v>
      </x:c>
      <x:c r="D181" s="72" t="n">
        <x:v>37</x:v>
      </x:c>
      <x:c r="E181" s="72" t="str">
        <x:f>IFERROR(IF(VLOOKUP(D181,Giocatori!$A$4:$C$73,2,FALSE)&lt;&gt;"",VLOOKUP(D181,Giocatori!$A$4:$C$73,2,FALSE),"Giocatore "&amp;D181),"Giocatore "&amp;D181)</x:f>
        <x:v>Spallone Carmine</x:v>
      </x:c>
      <x:c r="F181" s="63" t="str"/>
      <x:c r="G181" s="63" t="str"/>
      <x:c r="H181" s="63" t="n">
        <x:v>0</x:v>
      </x:c>
      <x:c r="I181" s="72" t="str">
        <x:f>IF(OR(G181="",G181&lt;1,G181&gt;5),"",CHOOSE(G181,9,6,4,2,1)+2*IF(H181="",0,H181))</x:f>
      </x:c>
      <x:c r="J181" s="63" t="str"/>
    </x:row>
    <x:row r="182">
      <x:c r="A182" s="72" t="n">
        <x:v>3</x:v>
      </x:c>
      <x:c r="B182" s="72" t="str">
        <x:v>J</x:v>
      </x:c>
      <x:c r="C182" s="72" t="n">
        <x:v>3</x:v>
      </x:c>
      <x:c r="D182" s="72" t="n">
        <x:v>28</x:v>
      </x:c>
      <x:c r="E182" s="72" t="str">
        <x:f>IFERROR(IF(VLOOKUP(D182,Giocatori!$A$4:$C$73,2,FALSE)&lt;&gt;"",VLOOKUP(D182,Giocatori!$A$4:$C$73,2,FALSE),"Giocatore "&amp;D182),"Giocatore "&amp;D182)</x:f>
        <x:v>Fontanella Carmine</x:v>
      </x:c>
      <x:c r="F182" s="63" t="str"/>
      <x:c r="G182" s="63" t="str"/>
      <x:c r="H182" s="63" t="n">
        <x:v>0</x:v>
      </x:c>
      <x:c r="I182" s="72" t="str">
        <x:f>IF(OR(G182="",G182&lt;1,G182&gt;5),"",CHOOSE(G182,9,6,4,2,1)+2*IF(H182="",0,H182))</x:f>
      </x:c>
      <x:c r="J182" s="63" t="str"/>
    </x:row>
    <x:row r="183">
      <x:c r="A183" s="72" t="n">
        <x:v>3</x:v>
      </x:c>
      <x:c r="B183" s="72" t="str">
        <x:v>J</x:v>
      </x:c>
      <x:c r="C183" s="72" t="n">
        <x:v>4</x:v>
      </x:c>
      <x:c r="D183" s="72" t="n">
        <x:v>19</x:v>
      </x:c>
      <x:c r="E183" s="72" t="str">
        <x:f>IFERROR(IF(VLOOKUP(D183,Giocatori!$A$4:$C$73,2,FALSE)&lt;&gt;"",VLOOKUP(D183,Giocatori!$A$4:$C$73,2,FALSE),"Giocatore "&amp;D183),"Giocatore "&amp;D183)</x:f>
        <x:v>Strocchia Franco</x:v>
      </x:c>
      <x:c r="F183" s="63" t="str"/>
      <x:c r="G183" s="63" t="str"/>
      <x:c r="H183" s="63" t="n">
        <x:v>0</x:v>
      </x:c>
      <x:c r="I183" s="72" t="str">
        <x:f>IF(OR(G183="",G183&lt;1,G183&gt;5),"",CHOOSE(G183,9,6,4,2,1)+2*IF(H183="",0,H183))</x:f>
      </x:c>
      <x:c r="J183" s="63" t="str"/>
    </x:row>
    <x:row r="184">
      <x:c r="A184" s="72" t="n">
        <x:v>3</x:v>
      </x:c>
      <x:c r="B184" s="72" t="str">
        <x:v>J</x:v>
      </x:c>
      <x:c r="C184" s="72" t="n">
        <x:v>5</x:v>
      </x:c>
      <x:c r="D184" s="72" t="n">
        <x:v>10</x:v>
      </x:c>
      <x:c r="E184" s="72" t="str">
        <x:f>IFERROR(IF(VLOOKUP(D184,Giocatori!$A$4:$C$73,2,FALSE)&lt;&gt;"",VLOOKUP(D184,Giocatori!$A$4:$C$73,2,FALSE),"Giocatore "&amp;D184),"Giocatore "&amp;D184)</x:f>
        <x:v>Cavallaro Erasmo</x:v>
      </x:c>
      <x:c r="F184" s="63" t="str"/>
      <x:c r="G184" s="63" t="str"/>
      <x:c r="H184" s="63" t="n">
        <x:v>0</x:v>
      </x:c>
      <x:c r="I184" s="72" t="str">
        <x:f>IF(OR(G184="",G184&lt;1,G184&gt;5),"",CHOOSE(G184,9,6,4,2,1)+2*IF(H184="",0,H184))</x:f>
      </x:c>
      <x:c r="J184" s="63" t="str"/>
    </x:row>
    <x:row r="185">
      <x:c r="A185" s="72" t="n">
        <x:v>3</x:v>
      </x:c>
      <x:c r="B185" s="72" t="str">
        <x:v>K</x:v>
      </x:c>
      <x:c r="C185" s="72" t="n">
        <x:v>1</x:v>
      </x:c>
      <x:c r="D185" s="72" t="n">
        <x:v>51</x:v>
      </x:c>
      <x:c r="E185" s="72" t="str">
        <x:f>IFERROR(IF(VLOOKUP(D185,Giocatori!$A$4:$C$73,2,FALSE)&lt;&gt;"",VLOOKUP(D185,Giocatori!$A$4:$C$73,2,FALSE),"Giocatore "&amp;D185),"Giocatore "&amp;D185)</x:f>
        <x:v>Domenico</x:v>
      </x:c>
      <x:c r="F185" s="63" t="str"/>
      <x:c r="G185" s="63" t="str"/>
      <x:c r="H185" s="63" t="n">
        <x:v>0</x:v>
      </x:c>
      <x:c r="I185" s="72" t="str">
        <x:f>IF(OR(G185="",G185&lt;1,G185&gt;5),"",CHOOSE(G185,9,6,4,2,1)+2*IF(H185="",0,H185))</x:f>
      </x:c>
      <x:c r="J185" s="63" t="str"/>
    </x:row>
    <x:row r="186">
      <x:c r="A186" s="72" t="n">
        <x:v>3</x:v>
      </x:c>
      <x:c r="B186" s="72" t="str">
        <x:v>K</x:v>
      </x:c>
      <x:c r="C186" s="72" t="n">
        <x:v>2</x:v>
      </x:c>
      <x:c r="D186" s="72" t="n">
        <x:v>42</x:v>
      </x:c>
      <x:c r="E186" s="72" t="str">
        <x:f>IFERROR(IF(VLOOKUP(D186,Giocatori!$A$4:$C$73,2,FALSE)&lt;&gt;"",VLOOKUP(D186,Giocatori!$A$4:$C$73,2,FALSE),"Giocatore "&amp;D186),"Giocatore "&amp;D186)</x:f>
        <x:v>Guerriero Giuseppe</x:v>
      </x:c>
      <x:c r="F186" s="63" t="str"/>
      <x:c r="G186" s="63" t="str"/>
      <x:c r="H186" s="63" t="n">
        <x:v>0</x:v>
      </x:c>
      <x:c r="I186" s="72" t="str">
        <x:f>IF(OR(G186="",G186&lt;1,G186&gt;5),"",CHOOSE(G186,9,6,4,2,1)+2*IF(H186="",0,H186))</x:f>
      </x:c>
      <x:c r="J186" s="63" t="str"/>
    </x:row>
    <x:row r="187">
      <x:c r="A187" s="72" t="n">
        <x:v>3</x:v>
      </x:c>
      <x:c r="B187" s="72" t="str">
        <x:v>K</x:v>
      </x:c>
      <x:c r="C187" s="72" t="n">
        <x:v>3</x:v>
      </x:c>
      <x:c r="D187" s="72" t="n">
        <x:v>33</x:v>
      </x:c>
      <x:c r="E187" s="72" t="str">
        <x:f>IFERROR(IF(VLOOKUP(D187,Giocatori!$A$4:$C$73,2,FALSE)&lt;&gt;"",VLOOKUP(D187,Giocatori!$A$4:$C$73,2,FALSE),"Giocatore "&amp;D187),"Giocatore "&amp;D187)</x:f>
        <x:v>Franzese Francesco</x:v>
      </x:c>
      <x:c r="F187" s="63" t="str"/>
      <x:c r="G187" s="63" t="str"/>
      <x:c r="H187" s="63" t="n">
        <x:v>0</x:v>
      </x:c>
      <x:c r="I187" s="72" t="str">
        <x:f>IF(OR(G187="",G187&lt;1,G187&gt;5),"",CHOOSE(G187,9,6,4,2,1)+2*IF(H187="",0,H187))</x:f>
      </x:c>
      <x:c r="J187" s="63" t="str"/>
    </x:row>
    <x:row r="188">
      <x:c r="A188" s="72" t="n">
        <x:v>3</x:v>
      </x:c>
      <x:c r="B188" s="72" t="str">
        <x:v>K</x:v>
      </x:c>
      <x:c r="C188" s="72" t="n">
        <x:v>4</x:v>
      </x:c>
      <x:c r="D188" s="72" t="n">
        <x:v>24</x:v>
      </x:c>
      <x:c r="E188" s="72" t="str">
        <x:f>IFERROR(IF(VLOOKUP(D188,Giocatori!$A$4:$C$73,2,FALSE)&lt;&gt;"",VLOOKUP(D188,Giocatori!$A$4:$C$73,2,FALSE),"Giocatore "&amp;D188),"Giocatore "&amp;D188)</x:f>
        <x:v>Pierro Giuseppe</x:v>
      </x:c>
      <x:c r="F188" s="63" t="str"/>
      <x:c r="G188" s="63" t="str"/>
      <x:c r="H188" s="63" t="n">
        <x:v>0</x:v>
      </x:c>
      <x:c r="I188" s="72" t="str">
        <x:f>IF(OR(G188="",G188&lt;1,G188&gt;5),"",CHOOSE(G188,9,6,4,2,1)+2*IF(H188="",0,H188))</x:f>
      </x:c>
      <x:c r="J188" s="63" t="str"/>
    </x:row>
    <x:row r="189">
      <x:c r="A189" s="72" t="n">
        <x:v>3</x:v>
      </x:c>
      <x:c r="B189" s="72" t="str">
        <x:v>K</x:v>
      </x:c>
      <x:c r="C189" s="72" t="n">
        <x:v>5</x:v>
      </x:c>
      <x:c r="D189" s="72" t="n">
        <x:v>15</x:v>
      </x:c>
      <x:c r="E189" s="72" t="str">
        <x:f>IFERROR(IF(VLOOKUP(D189,Giocatori!$A$4:$C$73,2,FALSE)&lt;&gt;"",VLOOKUP(D189,Giocatori!$A$4:$C$73,2,FALSE),"Giocatore "&amp;D189),"Giocatore "&amp;D189)</x:f>
        <x:v>De Falco Andrea</x:v>
      </x:c>
      <x:c r="F189" s="63" t="str"/>
      <x:c r="G189" s="63" t="str"/>
      <x:c r="H189" s="63" t="n">
        <x:v>0</x:v>
      </x:c>
      <x:c r="I189" s="72" t="str">
        <x:f>IF(OR(G189="",G189&lt;1,G189&gt;5),"",CHOOSE(G189,9,6,4,2,1)+2*IF(H189="",0,H189))</x:f>
      </x:c>
      <x:c r="J189" s="63" t="str"/>
    </x:row>
    <x:row r="190">
      <x:c r="A190" s="72" t="n">
        <x:v>3</x:v>
      </x:c>
      <x:c r="B190" s="72" t="str">
        <x:v>L</x:v>
      </x:c>
      <x:c r="C190" s="72" t="n">
        <x:v>1</x:v>
      </x:c>
      <x:c r="D190" s="72" t="n">
        <x:v>56</x:v>
      </x:c>
      <x:c r="E190" s="72" t="str">
        <x:f>IFERROR(IF(VLOOKUP(D190,Giocatori!$A$4:$C$73,2,FALSE)&lt;&gt;"",VLOOKUP(D190,Giocatori!$A$4:$C$73,2,FALSE),"Giocatore "&amp;D190),"Giocatore "&amp;D190)</x:f>
        <x:v>Oreste</x:v>
      </x:c>
      <x:c r="F190" s="63" t="str"/>
      <x:c r="G190" s="63" t="str"/>
      <x:c r="H190" s="63" t="n">
        <x:v>0</x:v>
      </x:c>
      <x:c r="I190" s="72" t="str">
        <x:f>IF(OR(G190="",G190&lt;1,G190&gt;5),"",CHOOSE(G190,9,6,4,2,1)+2*IF(H190="",0,H190))</x:f>
      </x:c>
      <x:c r="J190" s="63" t="str"/>
    </x:row>
    <x:row r="191">
      <x:c r="A191" s="72" t="n">
        <x:v>3</x:v>
      </x:c>
      <x:c r="B191" s="72" t="str">
        <x:v>L</x:v>
      </x:c>
      <x:c r="C191" s="72" t="n">
        <x:v>2</x:v>
      </x:c>
      <x:c r="D191" s="72" t="n">
        <x:v>47</x:v>
      </x:c>
      <x:c r="E191" s="72" t="str">
        <x:f>IFERROR(IF(VLOOKUP(D191,Giocatori!$A$4:$C$73,2,FALSE)&lt;&gt;"",VLOOKUP(D191,Giocatori!$A$4:$C$73,2,FALSE),"Giocatore "&amp;D191),"Giocatore "&amp;D191)</x:f>
        <x:v>Casoria Felice</x:v>
      </x:c>
      <x:c r="F191" s="63" t="str"/>
      <x:c r="G191" s="63" t="str"/>
      <x:c r="H191" s="63" t="n">
        <x:v>0</x:v>
      </x:c>
      <x:c r="I191" s="72" t="str">
        <x:f>IF(OR(G191="",G191&lt;1,G191&gt;5),"",CHOOSE(G191,9,6,4,2,1)+2*IF(H191="",0,H191))</x:f>
      </x:c>
      <x:c r="J191" s="63" t="str"/>
    </x:row>
    <x:row r="192">
      <x:c r="A192" s="72" t="n">
        <x:v>3</x:v>
      </x:c>
      <x:c r="B192" s="72" t="str">
        <x:v>L</x:v>
      </x:c>
      <x:c r="C192" s="72" t="n">
        <x:v>3</x:v>
      </x:c>
      <x:c r="D192" s="72" t="n">
        <x:v>38</x:v>
      </x:c>
      <x:c r="E192" s="72" t="str">
        <x:f>IFERROR(IF(VLOOKUP(D192,Giocatori!$A$4:$C$73,2,FALSE)&lt;&gt;"",VLOOKUP(D192,Giocatori!$A$4:$C$73,2,FALSE),"Giocatore "&amp;D192),"Giocatore "&amp;D192)</x:f>
        <x:v>Mauro Nicola</x:v>
      </x:c>
      <x:c r="F192" s="63" t="str"/>
      <x:c r="G192" s="63" t="str"/>
      <x:c r="H192" s="63" t="n">
        <x:v>0</x:v>
      </x:c>
      <x:c r="I192" s="72" t="str">
        <x:f>IF(OR(G192="",G192&lt;1,G192&gt;5),"",CHOOSE(G192,9,6,4,2,1)+2*IF(H192="",0,H192))</x:f>
      </x:c>
      <x:c r="J192" s="63" t="str"/>
    </x:row>
    <x:row r="193">
      <x:c r="A193" s="72" t="n">
        <x:v>3</x:v>
      </x:c>
      <x:c r="B193" s="72" t="str">
        <x:v>L</x:v>
      </x:c>
      <x:c r="C193" s="72" t="n">
        <x:v>4</x:v>
      </x:c>
      <x:c r="D193" s="72" t="n">
        <x:v>29</x:v>
      </x:c>
      <x:c r="E193" s="72" t="str">
        <x:f>IFERROR(IF(VLOOKUP(D193,Giocatori!$A$4:$C$73,2,FALSE)&lt;&gt;"",VLOOKUP(D193,Giocatori!$A$4:$C$73,2,FALSE),"Giocatore "&amp;D193),"Giocatore "&amp;D193)</x:f>
        <x:v>Nappi Nestore</x:v>
      </x:c>
      <x:c r="F193" s="63" t="str"/>
      <x:c r="G193" s="63" t="str"/>
      <x:c r="H193" s="63" t="n">
        <x:v>0</x:v>
      </x:c>
      <x:c r="I193" s="72" t="str">
        <x:f>IF(OR(G193="",G193&lt;1,G193&gt;5),"",CHOOSE(G193,9,6,4,2,1)+2*IF(H193="",0,H193))</x:f>
      </x:c>
      <x:c r="J193" s="63" t="str"/>
    </x:row>
    <x:row r="194">
      <x:c r="A194" s="72" t="n">
        <x:v>3</x:v>
      </x:c>
      <x:c r="B194" s="72" t="str">
        <x:v>L</x:v>
      </x:c>
      <x:c r="C194" s="72" t="n">
        <x:v>5</x:v>
      </x:c>
      <x:c r="D194" s="72" t="n">
        <x:v>20</x:v>
      </x:c>
      <x:c r="E194" s="72" t="str">
        <x:f>IFERROR(IF(VLOOKUP(D194,Giocatori!$A$4:$C$73,2,FALSE)&lt;&gt;"",VLOOKUP(D194,Giocatori!$A$4:$C$73,2,FALSE),"Giocatore "&amp;D194),"Giocatore "&amp;D194)</x:f>
        <x:v>Morelli Carmine</x:v>
      </x:c>
      <x:c r="F194" s="63" t="str"/>
      <x:c r="G194" s="63" t="str"/>
      <x:c r="H194" s="63" t="n">
        <x:v>0</x:v>
      </x:c>
      <x:c r="I194" s="72" t="str">
        <x:f>IF(OR(G194="",G194&lt;1,G194&gt;5),"",CHOOSE(G194,9,6,4,2,1)+2*IF(H194="",0,H194))</x:f>
      </x:c>
      <x:c r="J194" s="63" t="str"/>
    </x:row>
    <x:row r="195">
      <x:c r="A195" s="72" t="n">
        <x:v>3</x:v>
      </x:c>
      <x:c r="B195" s="72" t="str">
        <x:v>M</x:v>
      </x:c>
      <x:c r="C195" s="72" t="n">
        <x:v>1</x:v>
      </x:c>
      <x:c r="D195" s="72" t="n">
        <x:v>61</x:v>
      </x:c>
      <x:c r="E195" s="72" t="str">
        <x:f>IFERROR(IF(VLOOKUP(D195,Giocatori!$A$4:$C$73,2,FALSE)&lt;&gt;"",VLOOKUP(D195,Giocatori!$A$4:$C$73,2,FALSE),"Giocatore "&amp;D195),"Giocatore "&amp;D195)</x:f>
        <x:v>Mauro Cantice</x:v>
      </x:c>
      <x:c r="F195" s="63" t="str"/>
      <x:c r="G195" s="63" t="str"/>
      <x:c r="H195" s="63" t="n">
        <x:v>0</x:v>
      </x:c>
      <x:c r="I195" s="72" t="str">
        <x:f>IF(OR(G195="",G195&lt;1,G195&gt;5),"",CHOOSE(G195,9,6,4,2,1)+2*IF(H195="",0,H195))</x:f>
      </x:c>
      <x:c r="J195" s="63" t="str"/>
    </x:row>
    <x:row r="196">
      <x:c r="A196" s="72" t="n">
        <x:v>3</x:v>
      </x:c>
      <x:c r="B196" s="72" t="str">
        <x:v>M</x:v>
      </x:c>
      <x:c r="C196" s="72" t="n">
        <x:v>2</x:v>
      </x:c>
      <x:c r="D196" s="72" t="n">
        <x:v>52</x:v>
      </x:c>
      <x:c r="E196" s="72" t="str">
        <x:f>IFERROR(IF(VLOOKUP(D196,Giocatori!$A$4:$C$73,2,FALSE)&lt;&gt;"",VLOOKUP(D196,Giocatori!$A$4:$C$73,2,FALSE),"Giocatore "&amp;D196),"Giocatore "&amp;D196)</x:f>
        <x:v>Montanera Michele</x:v>
      </x:c>
      <x:c r="F196" s="63" t="str"/>
      <x:c r="G196" s="63" t="str"/>
      <x:c r="H196" s="63" t="n">
        <x:v>0</x:v>
      </x:c>
      <x:c r="I196" s="72" t="str">
        <x:f>IF(OR(G196="",G196&lt;1,G196&gt;5),"",CHOOSE(G196,9,6,4,2,1)+2*IF(H196="",0,H196))</x:f>
      </x:c>
      <x:c r="J196" s="63" t="str"/>
    </x:row>
    <x:row r="197">
      <x:c r="A197" s="72" t="n">
        <x:v>3</x:v>
      </x:c>
      <x:c r="B197" s="72" t="str">
        <x:v>M</x:v>
      </x:c>
      <x:c r="C197" s="72" t="n">
        <x:v>3</x:v>
      </x:c>
      <x:c r="D197" s="72" t="n">
        <x:v>43</x:v>
      </x:c>
      <x:c r="E197" s="72" t="str">
        <x:f>IFERROR(IF(VLOOKUP(D197,Giocatori!$A$4:$C$73,2,FALSE)&lt;&gt;"",VLOOKUP(D197,Giocatori!$A$4:$C$73,2,FALSE),"Giocatore "&amp;D197),"Giocatore "&amp;D197)</x:f>
        <x:v>Ruotolo Sabatino</x:v>
      </x:c>
      <x:c r="F197" s="63" t="str"/>
      <x:c r="G197" s="63" t="str"/>
      <x:c r="H197" s="63" t="n">
        <x:v>0</x:v>
      </x:c>
      <x:c r="I197" s="72" t="str">
        <x:f>IF(OR(G197="",G197&lt;1,G197&gt;5),"",CHOOSE(G197,9,6,4,2,1)+2*IF(H197="",0,H197))</x:f>
      </x:c>
      <x:c r="J197" s="63" t="str"/>
    </x:row>
    <x:row r="198">
      <x:c r="A198" s="72" t="n">
        <x:v>3</x:v>
      </x:c>
      <x:c r="B198" s="72" t="str">
        <x:v>M</x:v>
      </x:c>
      <x:c r="C198" s="72" t="n">
        <x:v>4</x:v>
      </x:c>
      <x:c r="D198" s="72" t="n">
        <x:v>34</x:v>
      </x:c>
      <x:c r="E198" s="72" t="str">
        <x:f>IFERROR(IF(VLOOKUP(D198,Giocatori!$A$4:$C$73,2,FALSE)&lt;&gt;"",VLOOKUP(D198,Giocatori!$A$4:$C$73,2,FALSE),"Giocatore "&amp;D198),"Giocatore "&amp;D198)</x:f>
        <x:v>Fontanella Giuseppe</x:v>
      </x:c>
      <x:c r="F198" s="63" t="str"/>
      <x:c r="G198" s="63" t="str"/>
      <x:c r="H198" s="63" t="n">
        <x:v>0</x:v>
      </x:c>
      <x:c r="I198" s="72" t="str">
        <x:f>IF(OR(G198="",G198&lt;1,G198&gt;5),"",CHOOSE(G198,9,6,4,2,1)+2*IF(H198="",0,H198))</x:f>
      </x:c>
      <x:c r="J198" s="63" t="str"/>
    </x:row>
    <x:row r="199">
      <x:c r="A199" s="72" t="n">
        <x:v>3</x:v>
      </x:c>
      <x:c r="B199" s="72" t="str">
        <x:v>M</x:v>
      </x:c>
      <x:c r="C199" s="72" t="n">
        <x:v>5</x:v>
      </x:c>
      <x:c r="D199" s="72" t="n">
        <x:v>25</x:v>
      </x:c>
      <x:c r="E199" s="72" t="str">
        <x:f>IFERROR(IF(VLOOKUP(D199,Giocatori!$A$4:$C$73,2,FALSE)&lt;&gt;"",VLOOKUP(D199,Giocatori!$A$4:$C$73,2,FALSE),"Giocatore "&amp;D199),"Giocatore "&amp;D199)</x:f>
        <x:v>Giugliano Francesco</x:v>
      </x:c>
      <x:c r="F199" s="63" t="str"/>
      <x:c r="G199" s="63" t="str"/>
      <x:c r="H199" s="63" t="n">
        <x:v>0</x:v>
      </x:c>
      <x:c r="I199" s="72" t="str">
        <x:f>IF(OR(G199="",G199&lt;1,G199&gt;5),"",CHOOSE(G199,9,6,4,2,1)+2*IF(H199="",0,H199))</x:f>
      </x:c>
      <x:c r="J199" s="63" t="str"/>
    </x:row>
  </x:sheetData>
  <x:mergeCells>
    <x:mergeCell ref="A1:J1"/>
    <x:mergeCell ref="A2:J2"/>
  </x:mergeCells>
  <x:dataValidations count="3">
    <x:dataValidation type="list" sqref="G5:G199">
      <x:formula1>"1,2,3,4,5"</x:formula1>
    </x:dataValidation>
    <x:dataValidation operator="greaterThanOrEqual" sqref="H5:H199">
      <x:formula1>0</x:formula1>
    </x:dataValidation>
    <x:dataValidation operator="between" sqref="F5:F199">
      <x:formula1>0</x:formula1>
      <x:formula2>200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848b2d2269e54c4f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10" hidden="0" customWidth="1"/>
    <x:col min="3" max="3" width="9" hidden="0" customWidth="1"/>
    <x:col min="4" max="4" width="14" hidden="0" customWidth="1"/>
    <x:col min="5" max="5" width="28" hidden="0" customWidth="1"/>
    <x:col min="6" max="6" width="16" hidden="0" customWidth="1"/>
    <x:col min="7" max="7" width="13" hidden="0" customWidth="1"/>
    <x:col min="8" max="8" width="10" hidden="0" customWidth="1"/>
    <x:col min="9" max="9" width="17" hidden="0" customWidth="1"/>
    <x:col min="10" max="10" width="30" hidden="0" customWidth="1"/>
  </x:cols>
  <x:sheetData>
    <x:row r="1" ht="30" customHeight="1">
      <x:c r="A1" s="51" t="str">
        <x:v>RISULTATI - 70 GIOCATORI</x:v>
      </x:c>
      <x:c r="B1" s="51"/>
      <x:c r="C1" s="51"/>
      <x:c r="D1" s="51"/>
      <x:c r="E1" s="51"/>
      <x:c r="F1" s="51"/>
      <x:c r="G1" s="51"/>
      <x:c r="H1" s="51"/>
      <x:c r="I1" s="51"/>
      <x:c r="J1" s="51"/>
    </x:row>
    <x:row r="2">
      <x:c r="A2" s="74" t="str">
        <x:v>Compilare esclusivamente le celle gialle. Posizione: 1 = migliore al tavolo, 5 = peggiore.</x:v>
      </x:c>
      <x:c r="B2" s="74"/>
      <x:c r="C2" s="74"/>
      <x:c r="D2" s="74"/>
      <x:c r="E2" s="74"/>
      <x:c r="F2" s="74"/>
      <x:c r="G2" s="74"/>
      <x:c r="H2" s="74"/>
      <x:c r="I2" s="74"/>
      <x:c r="J2" s="74"/>
    </x:row>
    <x:row r="4">
      <x:c r="A4" s="62" t="str">
        <x:v>Turno</x:v>
      </x:c>
      <x:c r="B4" s="62" t="str">
        <x:v>Tavolo</x:v>
      </x:c>
      <x:c r="C4" s="62" t="str">
        <x:v>Sedia</x:v>
      </x:c>
      <x:c r="D4" s="62" t="str">
        <x:v>Giocatore ID</x:v>
      </x:c>
      <x:c r="E4" s="62" t="str">
        <x:v>Nome</x:v>
      </x:c>
      <x:c r="F4" s="62" t="str">
        <x:v>Punti partita</x:v>
      </x:c>
      <x:c r="G4" s="62" t="str">
        <x:v>Posizione</x:v>
      </x:c>
      <x:c r="H4" s="62" t="str">
        <x:v>Sóle</x:v>
      </x:c>
      <x:c r="I4" s="62" t="str">
        <x:v>Punti classifica</x:v>
      </x:c>
      <x:c r="J4" s="62" t="str">
        <x:v>Note</x:v>
      </x:c>
    </x:row>
    <x:row r="5">
      <x:c r="A5" s="72" t="n">
        <x:v>1</x:v>
      </x:c>
      <x:c r="B5" s="72" t="str">
        <x:v>A</x:v>
      </x:c>
      <x:c r="C5" s="72" t="n">
        <x:v>1</x:v>
      </x:c>
      <x:c r="D5" s="72" t="n">
        <x:v>1</x:v>
      </x:c>
      <x:c r="E5" s="72" t="str">
        <x:f>IFERROR(IF(VLOOKUP(D5,Giocatori!$A$4:$C$73,2,FALSE)&lt;&gt;"",VLOOKUP(D5,Giocatori!$A$4:$C$73,2,FALSE),"Giocatore "&amp;D5),"Giocatore "&amp;D5)</x:f>
        <x:v>Annunziata Michele</x:v>
      </x:c>
      <x:c r="F5" s="63" t="str"/>
      <x:c r="G5" s="63" t="str"/>
      <x:c r="H5" s="63" t="n">
        <x:v>0</x:v>
      </x:c>
      <x:c r="I5" s="72" t="str">
        <x:f>IF(OR(G5="",G5&lt;1,G5&gt;5),"",CHOOSE(G5,9,6,4,2,1)+2*IF(H5="",0,H5))</x:f>
      </x:c>
      <x:c r="J5" s="63" t="str"/>
    </x:row>
    <x:row r="6">
      <x:c r="A6" s="72" t="n">
        <x:v>1</x:v>
      </x:c>
      <x:c r="B6" s="72" t="str">
        <x:v>A</x:v>
      </x:c>
      <x:c r="C6" s="72" t="n">
        <x:v>2</x:v>
      </x:c>
      <x:c r="D6" s="72" t="n">
        <x:v>2</x:v>
      </x:c>
      <x:c r="E6" s="72" t="str">
        <x:f>IFERROR(IF(VLOOKUP(D6,Giocatori!$A$4:$C$73,2,FALSE)&lt;&gt;"",VLOOKUP(D6,Giocatori!$A$4:$C$73,2,FALSE),"Giocatore "&amp;D6),"Giocatore "&amp;D6)</x:f>
        <x:v>La Marca Carlo</x:v>
      </x:c>
      <x:c r="F6" s="63" t="str"/>
      <x:c r="G6" s="63" t="str"/>
      <x:c r="H6" s="63" t="n">
        <x:v>0</x:v>
      </x:c>
      <x:c r="I6" s="72" t="str">
        <x:f>IF(OR(G6="",G6&lt;1,G6&gt;5),"",CHOOSE(G6,9,6,4,2,1)+2*IF(H6="",0,H6))</x:f>
      </x:c>
      <x:c r="J6" s="63" t="str"/>
    </x:row>
    <x:row r="7">
      <x:c r="A7" s="72" t="n">
        <x:v>1</x:v>
      </x:c>
      <x:c r="B7" s="72" t="str">
        <x:v>A</x:v>
      </x:c>
      <x:c r="C7" s="72" t="n">
        <x:v>3</x:v>
      </x:c>
      <x:c r="D7" s="72" t="n">
        <x:v>3</x:v>
      </x:c>
      <x:c r="E7" s="72" t="str">
        <x:f>IFERROR(IF(VLOOKUP(D7,Giocatori!$A$4:$C$73,2,FALSE)&lt;&gt;"",VLOOKUP(D7,Giocatori!$A$4:$C$73,2,FALSE),"Giocatore "&amp;D7),"Giocatore "&amp;D7)</x:f>
        <x:v>Sommese Antonio</x:v>
      </x:c>
      <x:c r="F7" s="63" t="str"/>
      <x:c r="G7" s="63" t="str"/>
      <x:c r="H7" s="63" t="n">
        <x:v>0</x:v>
      </x:c>
      <x:c r="I7" s="72" t="str">
        <x:f>IF(OR(G7="",G7&lt;1,G7&gt;5),"",CHOOSE(G7,9,6,4,2,1)+2*IF(H7="",0,H7))</x:f>
      </x:c>
      <x:c r="J7" s="63" t="str"/>
    </x:row>
    <x:row r="8">
      <x:c r="A8" s="72" t="n">
        <x:v>1</x:v>
      </x:c>
      <x:c r="B8" s="72" t="str">
        <x:v>A</x:v>
      </x:c>
      <x:c r="C8" s="72" t="n">
        <x:v>4</x:v>
      </x:c>
      <x:c r="D8" s="72" t="n">
        <x:v>4</x:v>
      </x:c>
      <x:c r="E8" s="72" t="str">
        <x:f>IFERROR(IF(VLOOKUP(D8,Giocatori!$A$4:$C$73,2,FALSE)&lt;&gt;"",VLOOKUP(D8,Giocatori!$A$4:$C$73,2,FALSE),"Giocatore "&amp;D8),"Giocatore "&amp;D8)</x:f>
        <x:v>Annunziata Raffaele</x:v>
      </x:c>
      <x:c r="F8" s="63" t="str"/>
      <x:c r="G8" s="63" t="str"/>
      <x:c r="H8" s="63" t="n">
        <x:v>0</x:v>
      </x:c>
      <x:c r="I8" s="72" t="str">
        <x:f>IF(OR(G8="",G8&lt;1,G8&gt;5),"",CHOOSE(G8,9,6,4,2,1)+2*IF(H8="",0,H8))</x:f>
      </x:c>
      <x:c r="J8" s="63" t="str"/>
    </x:row>
    <x:row r="9">
      <x:c r="A9" s="72" t="n">
        <x:v>1</x:v>
      </x:c>
      <x:c r="B9" s="72" t="str">
        <x:v>A</x:v>
      </x:c>
      <x:c r="C9" s="72" t="n">
        <x:v>5</x:v>
      </x:c>
      <x:c r="D9" s="72" t="n">
        <x:v>5</x:v>
      </x:c>
      <x:c r="E9" s="72" t="str">
        <x:f>IFERROR(IF(VLOOKUP(D9,Giocatori!$A$4:$C$73,2,FALSE)&lt;&gt;"",VLOOKUP(D9,Giocatori!$A$4:$C$73,2,FALSE),"Giocatore "&amp;D9),"Giocatore "&amp;D9)</x:f>
        <x:v>La Marca Pasquale</x:v>
      </x:c>
      <x:c r="F9" s="63" t="str"/>
      <x:c r="G9" s="63" t="str"/>
      <x:c r="H9" s="63" t="n">
        <x:v>0</x:v>
      </x:c>
      <x:c r="I9" s="72" t="str">
        <x:f>IF(OR(G9="",G9&lt;1,G9&gt;5),"",CHOOSE(G9,9,6,4,2,1)+2*IF(H9="",0,H9))</x:f>
      </x:c>
      <x:c r="J9" s="63" t="str"/>
    </x:row>
    <x:row r="10">
      <x:c r="A10" s="72" t="n">
        <x:v>1</x:v>
      </x:c>
      <x:c r="B10" s="72" t="str">
        <x:v>B</x:v>
      </x:c>
      <x:c r="C10" s="72" t="n">
        <x:v>1</x:v>
      </x:c>
      <x:c r="D10" s="72" t="n">
        <x:v>6</x:v>
      </x:c>
      <x:c r="E10" s="72" t="str">
        <x:f>IFERROR(IF(VLOOKUP(D10,Giocatori!$A$4:$C$73,2,FALSE)&lt;&gt;"",VLOOKUP(D10,Giocatori!$A$4:$C$73,2,FALSE),"Giocatore "&amp;D10),"Giocatore "&amp;D10)</x:f>
        <x:v>Panico Pasquale</x:v>
      </x:c>
      <x:c r="F10" s="63" t="str"/>
      <x:c r="G10" s="63" t="str"/>
      <x:c r="H10" s="63" t="n">
        <x:v>0</x:v>
      </x:c>
      <x:c r="I10" s="72" t="str">
        <x:f>IF(OR(G10="",G10&lt;1,G10&gt;5),"",CHOOSE(G10,9,6,4,2,1)+2*IF(H10="",0,H10))</x:f>
      </x:c>
      <x:c r="J10" s="63" t="str"/>
    </x:row>
    <x:row r="11">
      <x:c r="A11" s="72" t="n">
        <x:v>1</x:v>
      </x:c>
      <x:c r="B11" s="72" t="str">
        <x:v>B</x:v>
      </x:c>
      <x:c r="C11" s="72" t="n">
        <x:v>2</x:v>
      </x:c>
      <x:c r="D11" s="72" t="n">
        <x:v>7</x:v>
      </x:c>
      <x:c r="E11" s="72" t="str">
        <x:f>IFERROR(IF(VLOOKUP(D11,Giocatori!$A$4:$C$73,2,FALSE)&lt;&gt;"",VLOOKUP(D11,Giocatori!$A$4:$C$73,2,FALSE),"Giocatore "&amp;D11),"Giocatore "&amp;D11)</x:f>
        <x:v>Ambrosino Michele</x:v>
      </x:c>
      <x:c r="F11" s="63" t="str"/>
      <x:c r="G11" s="63" t="str"/>
      <x:c r="H11" s="63" t="n">
        <x:v>0</x:v>
      </x:c>
      <x:c r="I11" s="72" t="str">
        <x:f>IF(OR(G11="",G11&lt;1,G11&gt;5),"",CHOOSE(G11,9,6,4,2,1)+2*IF(H11="",0,H11))</x:f>
      </x:c>
      <x:c r="J11" s="63" t="str"/>
    </x:row>
    <x:row r="12">
      <x:c r="A12" s="72" t="n">
        <x:v>1</x:v>
      </x:c>
      <x:c r="B12" s="72" t="str">
        <x:v>B</x:v>
      </x:c>
      <x:c r="C12" s="72" t="n">
        <x:v>3</x:v>
      </x:c>
      <x:c r="D12" s="72" t="n">
        <x:v>8</x:v>
      </x:c>
      <x:c r="E12" s="72" t="str">
        <x:f>IFERROR(IF(VLOOKUP(D12,Giocatori!$A$4:$C$73,2,FALSE)&lt;&gt;"",VLOOKUP(D12,Giocatori!$A$4:$C$73,2,FALSE),"Giocatore "&amp;D12),"Giocatore "&amp;D12)</x:f>
        <x:v>Ambrosino Raffaele</x:v>
      </x:c>
      <x:c r="F12" s="63" t="str"/>
      <x:c r="G12" s="63" t="str"/>
      <x:c r="H12" s="63" t="n">
        <x:v>0</x:v>
      </x:c>
      <x:c r="I12" s="72" t="str">
        <x:f>IF(OR(G12="",G12&lt;1,G12&gt;5),"",CHOOSE(G12,9,6,4,2,1)+2*IF(H12="",0,H12))</x:f>
      </x:c>
      <x:c r="J12" s="63" t="str"/>
    </x:row>
    <x:row r="13">
      <x:c r="A13" s="72" t="n">
        <x:v>1</x:v>
      </x:c>
      <x:c r="B13" s="72" t="str">
        <x:v>B</x:v>
      </x:c>
      <x:c r="C13" s="72" t="n">
        <x:v>4</x:v>
      </x:c>
      <x:c r="D13" s="72" t="n">
        <x:v>9</x:v>
      </x:c>
      <x:c r="E13" s="72" t="str">
        <x:f>IFERROR(IF(VLOOKUP(D13,Giocatori!$A$4:$C$73,2,FALSE)&lt;&gt;"",VLOOKUP(D13,Giocatori!$A$4:$C$73,2,FALSE),"Giocatore "&amp;D13),"Giocatore "&amp;D13)</x:f>
        <x:v>Nappo Angelo</x:v>
      </x:c>
      <x:c r="F13" s="63" t="str"/>
      <x:c r="G13" s="63" t="str"/>
      <x:c r="H13" s="63" t="n">
        <x:v>0</x:v>
      </x:c>
      <x:c r="I13" s="72" t="str">
        <x:f>IF(OR(G13="",G13&lt;1,G13&gt;5),"",CHOOSE(G13,9,6,4,2,1)+2*IF(H13="",0,H13))</x:f>
      </x:c>
      <x:c r="J13" s="63" t="str"/>
    </x:row>
    <x:row r="14">
      <x:c r="A14" s="72" t="n">
        <x:v>1</x:v>
      </x:c>
      <x:c r="B14" s="72" t="str">
        <x:v>B</x:v>
      </x:c>
      <x:c r="C14" s="72" t="n">
        <x:v>5</x:v>
      </x:c>
      <x:c r="D14" s="72" t="n">
        <x:v>10</x:v>
      </x:c>
      <x:c r="E14" s="72" t="str">
        <x:f>IFERROR(IF(VLOOKUP(D14,Giocatori!$A$4:$C$73,2,FALSE)&lt;&gt;"",VLOOKUP(D14,Giocatori!$A$4:$C$73,2,FALSE),"Giocatore "&amp;D14),"Giocatore "&amp;D14)</x:f>
        <x:v>Cavallaro Erasmo</x:v>
      </x:c>
      <x:c r="F14" s="63" t="str"/>
      <x:c r="G14" s="63" t="str"/>
      <x:c r="H14" s="63" t="n">
        <x:v>0</x:v>
      </x:c>
      <x:c r="I14" s="72" t="str">
        <x:f>IF(OR(G14="",G14&lt;1,G14&gt;5),"",CHOOSE(G14,9,6,4,2,1)+2*IF(H14="",0,H14))</x:f>
      </x:c>
      <x:c r="J14" s="63" t="str"/>
    </x:row>
    <x:row r="15">
      <x:c r="A15" s="72" t="n">
        <x:v>1</x:v>
      </x:c>
      <x:c r="B15" s="72" t="str">
        <x:v>C</x:v>
      </x:c>
      <x:c r="C15" s="72" t="n">
        <x:v>1</x:v>
      </x:c>
      <x:c r="D15" s="72" t="n">
        <x:v>11</x:v>
      </x:c>
      <x:c r="E15" s="72" t="str">
        <x:f>IFERROR(IF(VLOOKUP(D15,Giocatori!$A$4:$C$73,2,FALSE)&lt;&gt;"",VLOOKUP(D15,Giocatori!$A$4:$C$73,2,FALSE),"Giocatore "&amp;D15),"Giocatore "&amp;D15)</x:f>
        <x:v>Notaro Giacomo</x:v>
      </x:c>
      <x:c r="F15" s="63" t="str"/>
      <x:c r="G15" s="63" t="str"/>
      <x:c r="H15" s="63" t="n">
        <x:v>0</x:v>
      </x:c>
      <x:c r="I15" s="72" t="str">
        <x:f>IF(OR(G15="",G15&lt;1,G15&gt;5),"",CHOOSE(G15,9,6,4,2,1)+2*IF(H15="",0,H15))</x:f>
      </x:c>
      <x:c r="J15" s="63" t="str"/>
    </x:row>
    <x:row r="16">
      <x:c r="A16" s="72" t="n">
        <x:v>1</x:v>
      </x:c>
      <x:c r="B16" s="72" t="str">
        <x:v>C</x:v>
      </x:c>
      <x:c r="C16" s="72" t="n">
        <x:v>2</x:v>
      </x:c>
      <x:c r="D16" s="72" t="n">
        <x:v>12</x:v>
      </x:c>
      <x:c r="E16" s="72" t="str">
        <x:f>IFERROR(IF(VLOOKUP(D16,Giocatori!$A$4:$C$73,2,FALSE)&lt;&gt;"",VLOOKUP(D16,Giocatori!$A$4:$C$73,2,FALSE),"Giocatore "&amp;D16),"Giocatore "&amp;D16)</x:f>
        <x:v>Scognamiglio Alfredo</x:v>
      </x:c>
      <x:c r="F16" s="63" t="str"/>
      <x:c r="G16" s="63" t="str"/>
      <x:c r="H16" s="63" t="n">
        <x:v>0</x:v>
      </x:c>
      <x:c r="I16" s="72" t="str">
        <x:f>IF(OR(G16="",G16&lt;1,G16&gt;5),"",CHOOSE(G16,9,6,4,2,1)+2*IF(H16="",0,H16))</x:f>
      </x:c>
      <x:c r="J16" s="63" t="str"/>
    </x:row>
    <x:row r="17">
      <x:c r="A17" s="72" t="n">
        <x:v>1</x:v>
      </x:c>
      <x:c r="B17" s="72" t="str">
        <x:v>C</x:v>
      </x:c>
      <x:c r="C17" s="72" t="n">
        <x:v>3</x:v>
      </x:c>
      <x:c r="D17" s="72" t="n">
        <x:v>13</x:v>
      </x:c>
      <x:c r="E17" s="72" t="str">
        <x:f>IFERROR(IF(VLOOKUP(D17,Giocatori!$A$4:$C$73,2,FALSE)&lt;&gt;"",VLOOKUP(D17,Giocatori!$A$4:$C$73,2,FALSE),"Giocatore "&amp;D17),"Giocatore "&amp;D17)</x:f>
        <x:v>Del Vecchio Diego</x:v>
      </x:c>
      <x:c r="F17" s="63" t="str"/>
      <x:c r="G17" s="63" t="str"/>
      <x:c r="H17" s="63" t="n">
        <x:v>0</x:v>
      </x:c>
      <x:c r="I17" s="72" t="str">
        <x:f>IF(OR(G17="",G17&lt;1,G17&gt;5),"",CHOOSE(G17,9,6,4,2,1)+2*IF(H17="",0,H17))</x:f>
      </x:c>
      <x:c r="J17" s="63" t="str"/>
    </x:row>
    <x:row r="18">
      <x:c r="A18" s="72" t="n">
        <x:v>1</x:v>
      </x:c>
      <x:c r="B18" s="72" t="str">
        <x:v>C</x:v>
      </x:c>
      <x:c r="C18" s="72" t="n">
        <x:v>4</x:v>
      </x:c>
      <x:c r="D18" s="72" t="n">
        <x:v>14</x:v>
      </x:c>
      <x:c r="E18" s="72" t="str">
        <x:f>IFERROR(IF(VLOOKUP(D18,Giocatori!$A$4:$C$73,2,FALSE)&lt;&gt;"",VLOOKUP(D18,Giocatori!$A$4:$C$73,2,FALSE),"Giocatore "&amp;D18),"Giocatore "&amp;D18)</x:f>
        <x:v>Beracci Lucio</x:v>
      </x:c>
      <x:c r="F18" s="63" t="str"/>
      <x:c r="G18" s="63" t="str"/>
      <x:c r="H18" s="63" t="n">
        <x:v>0</x:v>
      </x:c>
      <x:c r="I18" s="72" t="str">
        <x:f>IF(OR(G18="",G18&lt;1,G18&gt;5),"",CHOOSE(G18,9,6,4,2,1)+2*IF(H18="",0,H18))</x:f>
      </x:c>
      <x:c r="J18" s="63" t="str"/>
    </x:row>
    <x:row r="19">
      <x:c r="A19" s="72" t="n">
        <x:v>1</x:v>
      </x:c>
      <x:c r="B19" s="72" t="str">
        <x:v>C</x:v>
      </x:c>
      <x:c r="C19" s="72" t="n">
        <x:v>5</x:v>
      </x:c>
      <x:c r="D19" s="72" t="n">
        <x:v>15</x:v>
      </x:c>
      <x:c r="E19" s="72" t="str">
        <x:f>IFERROR(IF(VLOOKUP(D19,Giocatori!$A$4:$C$73,2,FALSE)&lt;&gt;"",VLOOKUP(D19,Giocatori!$A$4:$C$73,2,FALSE),"Giocatore "&amp;D19),"Giocatore "&amp;D19)</x:f>
        <x:v>De Falco Andrea</x:v>
      </x:c>
      <x:c r="F19" s="63" t="str"/>
      <x:c r="G19" s="63" t="str"/>
      <x:c r="H19" s="63" t="n">
        <x:v>0</x:v>
      </x:c>
      <x:c r="I19" s="72" t="str">
        <x:f>IF(OR(G19="",G19&lt;1,G19&gt;5),"",CHOOSE(G19,9,6,4,2,1)+2*IF(H19="",0,H19))</x:f>
      </x:c>
      <x:c r="J19" s="63" t="str"/>
    </x:row>
    <x:row r="20">
      <x:c r="A20" s="72" t="n">
        <x:v>1</x:v>
      </x:c>
      <x:c r="B20" s="72" t="str">
        <x:v>D</x:v>
      </x:c>
      <x:c r="C20" s="72" t="n">
        <x:v>1</x:v>
      </x:c>
      <x:c r="D20" s="72" t="n">
        <x:v>16</x:v>
      </x:c>
      <x:c r="E20" s="72" t="str">
        <x:f>IFERROR(IF(VLOOKUP(D20,Giocatori!$A$4:$C$73,2,FALSE)&lt;&gt;"",VLOOKUP(D20,Giocatori!$A$4:$C$73,2,FALSE),"Giocatore "&amp;D20),"Giocatore "&amp;D20)</x:f>
        <x:v>Beracci Benedetto</x:v>
      </x:c>
      <x:c r="F20" s="63" t="str"/>
      <x:c r="G20" s="63" t="str"/>
      <x:c r="H20" s="63" t="n">
        <x:v>0</x:v>
      </x:c>
      <x:c r="I20" s="72" t="str">
        <x:f>IF(OR(G20="",G20&lt;1,G20&gt;5),"",CHOOSE(G20,9,6,4,2,1)+2*IF(H20="",0,H20))</x:f>
      </x:c>
      <x:c r="J20" s="63" t="str"/>
    </x:row>
    <x:row r="21">
      <x:c r="A21" s="72" t="n">
        <x:v>1</x:v>
      </x:c>
      <x:c r="B21" s="72" t="str">
        <x:v>D</x:v>
      </x:c>
      <x:c r="C21" s="72" t="n">
        <x:v>2</x:v>
      </x:c>
      <x:c r="D21" s="72" t="n">
        <x:v>17</x:v>
      </x:c>
      <x:c r="E21" s="72" t="str">
        <x:f>IFERROR(IF(VLOOKUP(D21,Giocatori!$A$4:$C$73,2,FALSE)&lt;&gt;"",VLOOKUP(D21,Giocatori!$A$4:$C$73,2,FALSE),"Giocatore "&amp;D21),"Giocatore "&amp;D21)</x:f>
        <x:v>Tufano Giovanni</x:v>
      </x:c>
      <x:c r="F21" s="63" t="str"/>
      <x:c r="G21" s="63" t="str"/>
      <x:c r="H21" s="63" t="n">
        <x:v>0</x:v>
      </x:c>
      <x:c r="I21" s="72" t="str">
        <x:f>IF(OR(G21="",G21&lt;1,G21&gt;5),"",CHOOSE(G21,9,6,4,2,1)+2*IF(H21="",0,H21))</x:f>
      </x:c>
      <x:c r="J21" s="63" t="str"/>
    </x:row>
    <x:row r="22">
      <x:c r="A22" s="72" t="n">
        <x:v>1</x:v>
      </x:c>
      <x:c r="B22" s="72" t="str">
        <x:v>D</x:v>
      </x:c>
      <x:c r="C22" s="72" t="n">
        <x:v>3</x:v>
      </x:c>
      <x:c r="D22" s="72" t="n">
        <x:v>18</x:v>
      </x:c>
      <x:c r="E22" s="72" t="str">
        <x:f>IFERROR(IF(VLOOKUP(D22,Giocatori!$A$4:$C$73,2,FALSE)&lt;&gt;"",VLOOKUP(D22,Giocatori!$A$4:$C$73,2,FALSE),"Giocatore "&amp;D22),"Giocatore "&amp;D22)</x:f>
        <x:v>Ambrosino Gabriele</x:v>
      </x:c>
      <x:c r="F22" s="63" t="str"/>
      <x:c r="G22" s="63" t="str"/>
      <x:c r="H22" s="63" t="n">
        <x:v>0</x:v>
      </x:c>
      <x:c r="I22" s="72" t="str">
        <x:f>IF(OR(G22="",G22&lt;1,G22&gt;5),"",CHOOSE(G22,9,6,4,2,1)+2*IF(H22="",0,H22))</x:f>
      </x:c>
      <x:c r="J22" s="63" t="str"/>
    </x:row>
    <x:row r="23">
      <x:c r="A23" s="72" t="n">
        <x:v>1</x:v>
      </x:c>
      <x:c r="B23" s="72" t="str">
        <x:v>D</x:v>
      </x:c>
      <x:c r="C23" s="72" t="n">
        <x:v>4</x:v>
      </x:c>
      <x:c r="D23" s="72" t="n">
        <x:v>19</x:v>
      </x:c>
      <x:c r="E23" s="72" t="str">
        <x:f>IFERROR(IF(VLOOKUP(D23,Giocatori!$A$4:$C$73,2,FALSE)&lt;&gt;"",VLOOKUP(D23,Giocatori!$A$4:$C$73,2,FALSE),"Giocatore "&amp;D23),"Giocatore "&amp;D23)</x:f>
        <x:v>Strocchia Franco</x:v>
      </x:c>
      <x:c r="F23" s="63" t="str"/>
      <x:c r="G23" s="63" t="str"/>
      <x:c r="H23" s="63" t="n">
        <x:v>0</x:v>
      </x:c>
      <x:c r="I23" s="72" t="str">
        <x:f>IF(OR(G23="",G23&lt;1,G23&gt;5),"",CHOOSE(G23,9,6,4,2,1)+2*IF(H23="",0,H23))</x:f>
      </x:c>
      <x:c r="J23" s="63" t="str"/>
    </x:row>
    <x:row r="24">
      <x:c r="A24" s="72" t="n">
        <x:v>1</x:v>
      </x:c>
      <x:c r="B24" s="72" t="str">
        <x:v>D</x:v>
      </x:c>
      <x:c r="C24" s="72" t="n">
        <x:v>5</x:v>
      </x:c>
      <x:c r="D24" s="72" t="n">
        <x:v>20</x:v>
      </x:c>
      <x:c r="E24" s="72" t="str">
        <x:f>IFERROR(IF(VLOOKUP(D24,Giocatori!$A$4:$C$73,2,FALSE)&lt;&gt;"",VLOOKUP(D24,Giocatori!$A$4:$C$73,2,FALSE),"Giocatore "&amp;D24),"Giocatore "&amp;D24)</x:f>
        <x:v>Morelli Carmine</x:v>
      </x:c>
      <x:c r="F24" s="63" t="str"/>
      <x:c r="G24" s="63" t="str"/>
      <x:c r="H24" s="63" t="n">
        <x:v>0</x:v>
      </x:c>
      <x:c r="I24" s="72" t="str">
        <x:f>IF(OR(G24="",G24&lt;1,G24&gt;5),"",CHOOSE(G24,9,6,4,2,1)+2*IF(H24="",0,H24))</x:f>
      </x:c>
      <x:c r="J24" s="63" t="str"/>
    </x:row>
    <x:row r="25">
      <x:c r="A25" s="72" t="n">
        <x:v>1</x:v>
      </x:c>
      <x:c r="B25" s="72" t="str">
        <x:v>E</x:v>
      </x:c>
      <x:c r="C25" s="72" t="n">
        <x:v>1</x:v>
      </x:c>
      <x:c r="D25" s="72" t="n">
        <x:v>21</x:v>
      </x:c>
      <x:c r="E25" s="72" t="str">
        <x:f>IFERROR(IF(VLOOKUP(D25,Giocatori!$A$4:$C$73,2,FALSE)&lt;&gt;"",VLOOKUP(D25,Giocatori!$A$4:$C$73,2,FALSE),"Giocatore "&amp;D25),"Giocatore "&amp;D25)</x:f>
        <x:v>Tufano Raffaele</x:v>
      </x:c>
      <x:c r="F25" s="63" t="str"/>
      <x:c r="G25" s="63" t="str"/>
      <x:c r="H25" s="63" t="n">
        <x:v>0</x:v>
      </x:c>
      <x:c r="I25" s="72" t="str">
        <x:f>IF(OR(G25="",G25&lt;1,G25&gt;5),"",CHOOSE(G25,9,6,4,2,1)+2*IF(H25="",0,H25))</x:f>
      </x:c>
      <x:c r="J25" s="63" t="str"/>
    </x:row>
    <x:row r="26">
      <x:c r="A26" s="72" t="n">
        <x:v>1</x:v>
      </x:c>
      <x:c r="B26" s="72" t="str">
        <x:v>E</x:v>
      </x:c>
      <x:c r="C26" s="72" t="n">
        <x:v>2</x:v>
      </x:c>
      <x:c r="D26" s="72" t="n">
        <x:v>22</x:v>
      </x:c>
      <x:c r="E26" s="72" t="str">
        <x:f>IFERROR(IF(VLOOKUP(D26,Giocatori!$A$4:$C$73,2,FALSE)&lt;&gt;"",VLOOKUP(D26,Giocatori!$A$4:$C$73,2,FALSE),"Giocatore "&amp;D26),"Giocatore "&amp;D26)</x:f>
        <x:v>Napolitano Antonio</x:v>
      </x:c>
      <x:c r="F26" s="63" t="str"/>
      <x:c r="G26" s="63" t="str"/>
      <x:c r="H26" s="63" t="n">
        <x:v>0</x:v>
      </x:c>
      <x:c r="I26" s="72" t="str">
        <x:f>IF(OR(G26="",G26&lt;1,G26&gt;5),"",CHOOSE(G26,9,6,4,2,1)+2*IF(H26="",0,H26))</x:f>
      </x:c>
      <x:c r="J26" s="63" t="str"/>
    </x:row>
    <x:row r="27">
      <x:c r="A27" s="72" t="n">
        <x:v>1</x:v>
      </x:c>
      <x:c r="B27" s="72" t="str">
        <x:v>E</x:v>
      </x:c>
      <x:c r="C27" s="72" t="n">
        <x:v>3</x:v>
      </x:c>
      <x:c r="D27" s="72" t="n">
        <x:v>23</x:v>
      </x:c>
      <x:c r="E27" s="72" t="str">
        <x:f>IFERROR(IF(VLOOKUP(D27,Giocatori!$A$4:$C$73,2,FALSE)&lt;&gt;"",VLOOKUP(D27,Giocatori!$A$4:$C$73,2,FALSE),"Giocatore "&amp;D27),"Giocatore "&amp;D27)</x:f>
        <x:v>Notaro Massimo</x:v>
      </x:c>
      <x:c r="F27" s="63" t="str"/>
      <x:c r="G27" s="63" t="str"/>
      <x:c r="H27" s="63" t="n">
        <x:v>0</x:v>
      </x:c>
      <x:c r="I27" s="72" t="str">
        <x:f>IF(OR(G27="",G27&lt;1,G27&gt;5),"",CHOOSE(G27,9,6,4,2,1)+2*IF(H27="",0,H27))</x:f>
      </x:c>
      <x:c r="J27" s="63" t="str"/>
    </x:row>
    <x:row r="28">
      <x:c r="A28" s="72" t="n">
        <x:v>1</x:v>
      </x:c>
      <x:c r="B28" s="72" t="str">
        <x:v>E</x:v>
      </x:c>
      <x:c r="C28" s="72" t="n">
        <x:v>4</x:v>
      </x:c>
      <x:c r="D28" s="72" t="n">
        <x:v>24</x:v>
      </x:c>
      <x:c r="E28" s="72" t="str">
        <x:f>IFERROR(IF(VLOOKUP(D28,Giocatori!$A$4:$C$73,2,FALSE)&lt;&gt;"",VLOOKUP(D28,Giocatori!$A$4:$C$73,2,FALSE),"Giocatore "&amp;D28),"Giocatore "&amp;D28)</x:f>
        <x:v>Pierro Giuseppe</x:v>
      </x:c>
      <x:c r="F28" s="63" t="str"/>
      <x:c r="G28" s="63" t="str"/>
      <x:c r="H28" s="63" t="n">
        <x:v>0</x:v>
      </x:c>
      <x:c r="I28" s="72" t="str">
        <x:f>IF(OR(G28="",G28&lt;1,G28&gt;5),"",CHOOSE(G28,9,6,4,2,1)+2*IF(H28="",0,H28))</x:f>
      </x:c>
      <x:c r="J28" s="63" t="str"/>
    </x:row>
    <x:row r="29">
      <x:c r="A29" s="72" t="n">
        <x:v>1</x:v>
      </x:c>
      <x:c r="B29" s="72" t="str">
        <x:v>E</x:v>
      </x:c>
      <x:c r="C29" s="72" t="n">
        <x:v>5</x:v>
      </x:c>
      <x:c r="D29" s="72" t="n">
        <x:v>25</x:v>
      </x:c>
      <x:c r="E29" s="72" t="str">
        <x:f>IFERROR(IF(VLOOKUP(D29,Giocatori!$A$4:$C$73,2,FALSE)&lt;&gt;"",VLOOKUP(D29,Giocatori!$A$4:$C$73,2,FALSE),"Giocatore "&amp;D29),"Giocatore "&amp;D29)</x:f>
        <x:v>Giugliano Francesco</x:v>
      </x:c>
      <x:c r="F29" s="63" t="str"/>
      <x:c r="G29" s="63" t="str"/>
      <x:c r="H29" s="63" t="n">
        <x:v>0</x:v>
      </x:c>
      <x:c r="I29" s="72" t="str">
        <x:f>IF(OR(G29="",G29&lt;1,G29&gt;5),"",CHOOSE(G29,9,6,4,2,1)+2*IF(H29="",0,H29))</x:f>
      </x:c>
      <x:c r="J29" s="63" t="str"/>
    </x:row>
    <x:row r="30">
      <x:c r="A30" s="72" t="n">
        <x:v>1</x:v>
      </x:c>
      <x:c r="B30" s="72" t="str">
        <x:v>F</x:v>
      </x:c>
      <x:c r="C30" s="72" t="n">
        <x:v>1</x:v>
      </x:c>
      <x:c r="D30" s="72" t="n">
        <x:v>26</x:v>
      </x:c>
      <x:c r="E30" s="72" t="str">
        <x:f>IFERROR(IF(VLOOKUP(D30,Giocatori!$A$4:$C$73,2,FALSE)&lt;&gt;"",VLOOKUP(D30,Giocatori!$A$4:$C$73,2,FALSE),"Giocatore "&amp;D30),"Giocatore "&amp;D30)</x:f>
        <x:v>Gesso Marco</x:v>
      </x:c>
      <x:c r="F30" s="63" t="str"/>
      <x:c r="G30" s="63" t="str"/>
      <x:c r="H30" s="63" t="n">
        <x:v>0</x:v>
      </x:c>
      <x:c r="I30" s="72" t="str">
        <x:f>IF(OR(G30="",G30&lt;1,G30&gt;5),"",CHOOSE(G30,9,6,4,2,1)+2*IF(H30="",0,H30))</x:f>
      </x:c>
      <x:c r="J30" s="63" t="str"/>
    </x:row>
    <x:row r="31">
      <x:c r="A31" s="72" t="n">
        <x:v>1</x:v>
      </x:c>
      <x:c r="B31" s="72" t="str">
        <x:v>F</x:v>
      </x:c>
      <x:c r="C31" s="72" t="n">
        <x:v>2</x:v>
      </x:c>
      <x:c r="D31" s="72" t="n">
        <x:v>27</x:v>
      </x:c>
      <x:c r="E31" s="72" t="str">
        <x:f>IFERROR(IF(VLOOKUP(D31,Giocatori!$A$4:$C$73,2,FALSE)&lt;&gt;"",VLOOKUP(D31,Giocatori!$A$4:$C$73,2,FALSE),"Giocatore "&amp;D31),"Giocatore "&amp;D31)</x:f>
        <x:v>Napolitano Angelo</x:v>
      </x:c>
      <x:c r="F31" s="63" t="str"/>
      <x:c r="G31" s="63" t="str"/>
      <x:c r="H31" s="63" t="n">
        <x:v>0</x:v>
      </x:c>
      <x:c r="I31" s="72" t="str">
        <x:f>IF(OR(G31="",G31&lt;1,G31&gt;5),"",CHOOSE(G31,9,6,4,2,1)+2*IF(H31="",0,H31))</x:f>
      </x:c>
      <x:c r="J31" s="63" t="str"/>
    </x:row>
    <x:row r="32">
      <x:c r="A32" s="72" t="n">
        <x:v>1</x:v>
      </x:c>
      <x:c r="B32" s="72" t="str">
        <x:v>F</x:v>
      </x:c>
      <x:c r="C32" s="72" t="n">
        <x:v>3</x:v>
      </x:c>
      <x:c r="D32" s="72" t="n">
        <x:v>28</x:v>
      </x:c>
      <x:c r="E32" s="72" t="str">
        <x:f>IFERROR(IF(VLOOKUP(D32,Giocatori!$A$4:$C$73,2,FALSE)&lt;&gt;"",VLOOKUP(D32,Giocatori!$A$4:$C$73,2,FALSE),"Giocatore "&amp;D32),"Giocatore "&amp;D32)</x:f>
        <x:v>Fontanella Carmine</x:v>
      </x:c>
      <x:c r="F32" s="63" t="str"/>
      <x:c r="G32" s="63" t="str"/>
      <x:c r="H32" s="63" t="n">
        <x:v>0</x:v>
      </x:c>
      <x:c r="I32" s="72" t="str">
        <x:f>IF(OR(G32="",G32&lt;1,G32&gt;5),"",CHOOSE(G32,9,6,4,2,1)+2*IF(H32="",0,H32))</x:f>
      </x:c>
      <x:c r="J32" s="63" t="str"/>
    </x:row>
    <x:row r="33">
      <x:c r="A33" s="72" t="n">
        <x:v>1</x:v>
      </x:c>
      <x:c r="B33" s="72" t="str">
        <x:v>F</x:v>
      </x:c>
      <x:c r="C33" s="72" t="n">
        <x:v>4</x:v>
      </x:c>
      <x:c r="D33" s="72" t="n">
        <x:v>29</x:v>
      </x:c>
      <x:c r="E33" s="72" t="str">
        <x:f>IFERROR(IF(VLOOKUP(D33,Giocatori!$A$4:$C$73,2,FALSE)&lt;&gt;"",VLOOKUP(D33,Giocatori!$A$4:$C$73,2,FALSE),"Giocatore "&amp;D33),"Giocatore "&amp;D33)</x:f>
        <x:v>Nappi Nestore</x:v>
      </x:c>
      <x:c r="F33" s="63" t="str"/>
      <x:c r="G33" s="63" t="str"/>
      <x:c r="H33" s="63" t="n">
        <x:v>0</x:v>
      </x:c>
      <x:c r="I33" s="72" t="str">
        <x:f>IF(OR(G33="",G33&lt;1,G33&gt;5),"",CHOOSE(G33,9,6,4,2,1)+2*IF(H33="",0,H33))</x:f>
      </x:c>
      <x:c r="J33" s="63" t="str"/>
    </x:row>
    <x:row r="34">
      <x:c r="A34" s="72" t="n">
        <x:v>1</x:v>
      </x:c>
      <x:c r="B34" s="72" t="str">
        <x:v>F</x:v>
      </x:c>
      <x:c r="C34" s="72" t="n">
        <x:v>5</x:v>
      </x:c>
      <x:c r="D34" s="72" t="n">
        <x:v>30</x:v>
      </x:c>
      <x:c r="E34" s="72" t="str">
        <x:f>IFERROR(IF(VLOOKUP(D34,Giocatori!$A$4:$C$73,2,FALSE)&lt;&gt;"",VLOOKUP(D34,Giocatori!$A$4:$C$73,2,FALSE),"Giocatore "&amp;D34),"Giocatore "&amp;D34)</x:f>
        <x:v>Tufano Giuseppe</x:v>
      </x:c>
      <x:c r="F34" s="63" t="str"/>
      <x:c r="G34" s="63" t="str"/>
      <x:c r="H34" s="63" t="n">
        <x:v>0</x:v>
      </x:c>
      <x:c r="I34" s="72" t="str">
        <x:f>IF(OR(G34="",G34&lt;1,G34&gt;5),"",CHOOSE(G34,9,6,4,2,1)+2*IF(H34="",0,H34))</x:f>
      </x:c>
      <x:c r="J34" s="63" t="str"/>
    </x:row>
    <x:row r="35">
      <x:c r="A35" s="72" t="n">
        <x:v>1</x:v>
      </x:c>
      <x:c r="B35" s="72" t="str">
        <x:v>G</x:v>
      </x:c>
      <x:c r="C35" s="72" t="n">
        <x:v>1</x:v>
      </x:c>
      <x:c r="D35" s="72" t="n">
        <x:v>31</x:v>
      </x:c>
      <x:c r="E35" s="72" t="str">
        <x:f>IFERROR(IF(VLOOKUP(D35,Giocatori!$A$4:$C$73,2,FALSE)&lt;&gt;"",VLOOKUP(D35,Giocatori!$A$4:$C$73,2,FALSE),"Giocatore "&amp;D35),"Giocatore "&amp;D35)</x:f>
        <x:v>Polacco Tommaso</x:v>
      </x:c>
      <x:c r="F35" s="63" t="str"/>
      <x:c r="G35" s="63" t="str"/>
      <x:c r="H35" s="63" t="n">
        <x:v>0</x:v>
      </x:c>
      <x:c r="I35" s="72" t="str">
        <x:f>IF(OR(G35="",G35&lt;1,G35&gt;5),"",CHOOSE(G35,9,6,4,2,1)+2*IF(H35="",0,H35))</x:f>
      </x:c>
      <x:c r="J35" s="63" t="str"/>
    </x:row>
    <x:row r="36">
      <x:c r="A36" s="72" t="n">
        <x:v>1</x:v>
      </x:c>
      <x:c r="B36" s="72" t="str">
        <x:v>G</x:v>
      </x:c>
      <x:c r="C36" s="72" t="n">
        <x:v>2</x:v>
      </x:c>
      <x:c r="D36" s="72" t="n">
        <x:v>32</x:v>
      </x:c>
      <x:c r="E36" s="72" t="str">
        <x:f>IFERROR(IF(VLOOKUP(D36,Giocatori!$A$4:$C$73,2,FALSE)&lt;&gt;"",VLOOKUP(D36,Giocatori!$A$4:$C$73,2,FALSE),"Giocatore "&amp;D36),"Giocatore "&amp;D36)</x:f>
        <x:v>Marotta Pasquale</x:v>
      </x:c>
      <x:c r="F36" s="63" t="str"/>
      <x:c r="G36" s="63" t="str"/>
      <x:c r="H36" s="63" t="n">
        <x:v>0</x:v>
      </x:c>
      <x:c r="I36" s="72" t="str">
        <x:f>IF(OR(G36="",G36&lt;1,G36&gt;5),"",CHOOSE(G36,9,6,4,2,1)+2*IF(H36="",0,H36))</x:f>
      </x:c>
      <x:c r="J36" s="63" t="str"/>
    </x:row>
    <x:row r="37">
      <x:c r="A37" s="72" t="n">
        <x:v>1</x:v>
      </x:c>
      <x:c r="B37" s="72" t="str">
        <x:v>G</x:v>
      </x:c>
      <x:c r="C37" s="72" t="n">
        <x:v>3</x:v>
      </x:c>
      <x:c r="D37" s="72" t="n">
        <x:v>33</x:v>
      </x:c>
      <x:c r="E37" s="72" t="str">
        <x:f>IFERROR(IF(VLOOKUP(D37,Giocatori!$A$4:$C$73,2,FALSE)&lt;&gt;"",VLOOKUP(D37,Giocatori!$A$4:$C$73,2,FALSE),"Giocatore "&amp;D37),"Giocatore "&amp;D37)</x:f>
        <x:v>Franzese Francesco</x:v>
      </x:c>
      <x:c r="F37" s="63" t="str"/>
      <x:c r="G37" s="63" t="str"/>
      <x:c r="H37" s="63" t="n">
        <x:v>0</x:v>
      </x:c>
      <x:c r="I37" s="72" t="str">
        <x:f>IF(OR(G37="",G37&lt;1,G37&gt;5),"",CHOOSE(G37,9,6,4,2,1)+2*IF(H37="",0,H37))</x:f>
      </x:c>
      <x:c r="J37" s="63" t="str"/>
    </x:row>
    <x:row r="38">
      <x:c r="A38" s="72" t="n">
        <x:v>1</x:v>
      </x:c>
      <x:c r="B38" s="72" t="str">
        <x:v>G</x:v>
      </x:c>
      <x:c r="C38" s="72" t="n">
        <x:v>4</x:v>
      </x:c>
      <x:c r="D38" s="72" t="n">
        <x:v>34</x:v>
      </x:c>
      <x:c r="E38" s="72" t="str">
        <x:f>IFERROR(IF(VLOOKUP(D38,Giocatori!$A$4:$C$73,2,FALSE)&lt;&gt;"",VLOOKUP(D38,Giocatori!$A$4:$C$73,2,FALSE),"Giocatore "&amp;D38),"Giocatore "&amp;D38)</x:f>
        <x:v>Fontanella Giuseppe</x:v>
      </x:c>
      <x:c r="F38" s="63" t="str"/>
      <x:c r="G38" s="63" t="str"/>
      <x:c r="H38" s="63" t="n">
        <x:v>0</x:v>
      </x:c>
      <x:c r="I38" s="72" t="str">
        <x:f>IF(OR(G38="",G38&lt;1,G38&gt;5),"",CHOOSE(G38,9,6,4,2,1)+2*IF(H38="",0,H38))</x:f>
      </x:c>
      <x:c r="J38" s="63" t="str"/>
    </x:row>
    <x:row r="39">
      <x:c r="A39" s="72" t="n">
        <x:v>1</x:v>
      </x:c>
      <x:c r="B39" s="72" t="str">
        <x:v>G</x:v>
      </x:c>
      <x:c r="C39" s="72" t="n">
        <x:v>5</x:v>
      </x:c>
      <x:c r="D39" s="72" t="n">
        <x:v>35</x:v>
      </x:c>
      <x:c r="E39" s="72" t="str">
        <x:f>IFERROR(IF(VLOOKUP(D39,Giocatori!$A$4:$C$73,2,FALSE)&lt;&gt;"",VLOOKUP(D39,Giocatori!$A$4:$C$73,2,FALSE),"Giocatore "&amp;D39),"Giocatore "&amp;D39)</x:f>
        <x:v>Panico Giuseppe</x:v>
      </x:c>
      <x:c r="F39" s="63" t="str"/>
      <x:c r="G39" s="63" t="str"/>
      <x:c r="H39" s="63" t="n">
        <x:v>0</x:v>
      </x:c>
      <x:c r="I39" s="72" t="str">
        <x:f>IF(OR(G39="",G39&lt;1,G39&gt;5),"",CHOOSE(G39,9,6,4,2,1)+2*IF(H39="",0,H39))</x:f>
      </x:c>
      <x:c r="J39" s="63" t="str"/>
    </x:row>
    <x:row r="40">
      <x:c r="A40" s="72" t="n">
        <x:v>1</x:v>
      </x:c>
      <x:c r="B40" s="72" t="str">
        <x:v>H</x:v>
      </x:c>
      <x:c r="C40" s="72" t="n">
        <x:v>1</x:v>
      </x:c>
      <x:c r="D40" s="72" t="n">
        <x:v>36</x:v>
      </x:c>
      <x:c r="E40" s="72" t="str">
        <x:f>IFERROR(IF(VLOOKUP(D40,Giocatori!$A$4:$C$73,2,FALSE)&lt;&gt;"",VLOOKUP(D40,Giocatori!$A$4:$C$73,2,FALSE),"Giocatore "&amp;D40),"Giocatore "&amp;D40)</x:f>
        <x:v>Moccia Biagio</x:v>
      </x:c>
      <x:c r="F40" s="63" t="str"/>
      <x:c r="G40" s="63" t="str"/>
      <x:c r="H40" s="63" t="n">
        <x:v>0</x:v>
      </x:c>
      <x:c r="I40" s="72" t="str">
        <x:f>IF(OR(G40="",G40&lt;1,G40&gt;5),"",CHOOSE(G40,9,6,4,2,1)+2*IF(H40="",0,H40))</x:f>
      </x:c>
      <x:c r="J40" s="63" t="str"/>
    </x:row>
    <x:row r="41">
      <x:c r="A41" s="72" t="n">
        <x:v>1</x:v>
      </x:c>
      <x:c r="B41" s="72" t="str">
        <x:v>H</x:v>
      </x:c>
      <x:c r="C41" s="72" t="n">
        <x:v>2</x:v>
      </x:c>
      <x:c r="D41" s="72" t="n">
        <x:v>37</x:v>
      </x:c>
      <x:c r="E41" s="72" t="str">
        <x:f>IFERROR(IF(VLOOKUP(D41,Giocatori!$A$4:$C$73,2,FALSE)&lt;&gt;"",VLOOKUP(D41,Giocatori!$A$4:$C$73,2,FALSE),"Giocatore "&amp;D41),"Giocatore "&amp;D41)</x:f>
        <x:v>Spallone Carmine</x:v>
      </x:c>
      <x:c r="F41" s="63" t="str"/>
      <x:c r="G41" s="63" t="str"/>
      <x:c r="H41" s="63" t="n">
        <x:v>0</x:v>
      </x:c>
      <x:c r="I41" s="72" t="str">
        <x:f>IF(OR(G41="",G41&lt;1,G41&gt;5),"",CHOOSE(G41,9,6,4,2,1)+2*IF(H41="",0,H41))</x:f>
      </x:c>
      <x:c r="J41" s="63" t="str"/>
    </x:row>
    <x:row r="42">
      <x:c r="A42" s="72" t="n">
        <x:v>1</x:v>
      </x:c>
      <x:c r="B42" s="72" t="str">
        <x:v>H</x:v>
      </x:c>
      <x:c r="C42" s="72" t="n">
        <x:v>3</x:v>
      </x:c>
      <x:c r="D42" s="72" t="n">
        <x:v>38</x:v>
      </x:c>
      <x:c r="E42" s="72" t="str">
        <x:f>IFERROR(IF(VLOOKUP(D42,Giocatori!$A$4:$C$73,2,FALSE)&lt;&gt;"",VLOOKUP(D42,Giocatori!$A$4:$C$73,2,FALSE),"Giocatore "&amp;D42),"Giocatore "&amp;D42)</x:f>
        <x:v>Mauro Nicola</x:v>
      </x:c>
      <x:c r="F42" s="63" t="str"/>
      <x:c r="G42" s="63" t="str"/>
      <x:c r="H42" s="63" t="n">
        <x:v>0</x:v>
      </x:c>
      <x:c r="I42" s="72" t="str">
        <x:f>IF(OR(G42="",G42&lt;1,G42&gt;5),"",CHOOSE(G42,9,6,4,2,1)+2*IF(H42="",0,H42))</x:f>
      </x:c>
      <x:c r="J42" s="63" t="str"/>
    </x:row>
    <x:row r="43">
      <x:c r="A43" s="72" t="n">
        <x:v>1</x:v>
      </x:c>
      <x:c r="B43" s="72" t="str">
        <x:v>H</x:v>
      </x:c>
      <x:c r="C43" s="72" t="n">
        <x:v>4</x:v>
      </x:c>
      <x:c r="D43" s="72" t="n">
        <x:v>39</x:v>
      </x:c>
      <x:c r="E43" s="72" t="str">
        <x:f>IFERROR(IF(VLOOKUP(D43,Giocatori!$A$4:$C$73,2,FALSE)&lt;&gt;"",VLOOKUP(D43,Giocatori!$A$4:$C$73,2,FALSE),"Giocatore "&amp;D43),"Giocatore "&amp;D43)</x:f>
        <x:v>Ambrosino Lello</x:v>
      </x:c>
      <x:c r="F43" s="63" t="str"/>
      <x:c r="G43" s="63" t="str"/>
      <x:c r="H43" s="63" t="n">
        <x:v>0</x:v>
      </x:c>
      <x:c r="I43" s="72" t="str">
        <x:f>IF(OR(G43="",G43&lt;1,G43&gt;5),"",CHOOSE(G43,9,6,4,2,1)+2*IF(H43="",0,H43))</x:f>
      </x:c>
      <x:c r="J43" s="63" t="str"/>
    </x:row>
    <x:row r="44">
      <x:c r="A44" s="72" t="n">
        <x:v>1</x:v>
      </x:c>
      <x:c r="B44" s="72" t="str">
        <x:v>H</x:v>
      </x:c>
      <x:c r="C44" s="72" t="n">
        <x:v>5</x:v>
      </x:c>
      <x:c r="D44" s="72" t="n">
        <x:v>40</x:v>
      </x:c>
      <x:c r="E44" s="72" t="str">
        <x:f>IFERROR(IF(VLOOKUP(D44,Giocatori!$A$4:$C$73,2,FALSE)&lt;&gt;"",VLOOKUP(D44,Giocatori!$A$4:$C$73,2,FALSE),"Giocatore "&amp;D44),"Giocatore "&amp;D44)</x:f>
        <x:v>Carbone Felice</x:v>
      </x:c>
      <x:c r="F44" s="63" t="str"/>
      <x:c r="G44" s="63" t="str"/>
      <x:c r="H44" s="63" t="n">
        <x:v>0</x:v>
      </x:c>
      <x:c r="I44" s="72" t="str">
        <x:f>IF(OR(G44="",G44&lt;1,G44&gt;5),"",CHOOSE(G44,9,6,4,2,1)+2*IF(H44="",0,H44))</x:f>
      </x:c>
      <x:c r="J44" s="63" t="str"/>
    </x:row>
    <x:row r="45">
      <x:c r="A45" s="72" t="n">
        <x:v>1</x:v>
      </x:c>
      <x:c r="B45" s="72" t="str">
        <x:v>I</x:v>
      </x:c>
      <x:c r="C45" s="72" t="n">
        <x:v>1</x:v>
      </x:c>
      <x:c r="D45" s="72" t="n">
        <x:v>41</x:v>
      </x:c>
      <x:c r="E45" s="72" t="str">
        <x:f>IFERROR(IF(VLOOKUP(D45,Giocatori!$A$4:$C$73,2,FALSE)&lt;&gt;"",VLOOKUP(D45,Giocatori!$A$4:$C$73,2,FALSE),"Giocatore "&amp;D45),"Giocatore "&amp;D45)</x:f>
        <x:v>Nocerino Nunzio</x:v>
      </x:c>
      <x:c r="F45" s="63" t="str"/>
      <x:c r="G45" s="63" t="str"/>
      <x:c r="H45" s="63" t="n">
        <x:v>0</x:v>
      </x:c>
      <x:c r="I45" s="72" t="str">
        <x:f>IF(OR(G45="",G45&lt;1,G45&gt;5),"",CHOOSE(G45,9,6,4,2,1)+2*IF(H45="",0,H45))</x:f>
      </x:c>
      <x:c r="J45" s="63" t="str"/>
    </x:row>
    <x:row r="46">
      <x:c r="A46" s="72" t="n">
        <x:v>1</x:v>
      </x:c>
      <x:c r="B46" s="72" t="str">
        <x:v>I</x:v>
      </x:c>
      <x:c r="C46" s="72" t="n">
        <x:v>2</x:v>
      </x:c>
      <x:c r="D46" s="72" t="n">
        <x:v>42</x:v>
      </x:c>
      <x:c r="E46" s="72" t="str">
        <x:f>IFERROR(IF(VLOOKUP(D46,Giocatori!$A$4:$C$73,2,FALSE)&lt;&gt;"",VLOOKUP(D46,Giocatori!$A$4:$C$73,2,FALSE),"Giocatore "&amp;D46),"Giocatore "&amp;D46)</x:f>
        <x:v>Guerriero Giuseppe</x:v>
      </x:c>
      <x:c r="F46" s="63" t="str"/>
      <x:c r="G46" s="63" t="str"/>
      <x:c r="H46" s="63" t="n">
        <x:v>0</x:v>
      </x:c>
      <x:c r="I46" s="72" t="str">
        <x:f>IF(OR(G46="",G46&lt;1,G46&gt;5),"",CHOOSE(G46,9,6,4,2,1)+2*IF(H46="",0,H46))</x:f>
      </x:c>
      <x:c r="J46" s="63" t="str"/>
    </x:row>
    <x:row r="47">
      <x:c r="A47" s="72" t="n">
        <x:v>1</x:v>
      </x:c>
      <x:c r="B47" s="72" t="str">
        <x:v>I</x:v>
      </x:c>
      <x:c r="C47" s="72" t="n">
        <x:v>3</x:v>
      </x:c>
      <x:c r="D47" s="72" t="n">
        <x:v>43</x:v>
      </x:c>
      <x:c r="E47" s="72" t="str">
        <x:f>IFERROR(IF(VLOOKUP(D47,Giocatori!$A$4:$C$73,2,FALSE)&lt;&gt;"",VLOOKUP(D47,Giocatori!$A$4:$C$73,2,FALSE),"Giocatore "&amp;D47),"Giocatore "&amp;D47)</x:f>
        <x:v>Ruotolo Sabatino</x:v>
      </x:c>
      <x:c r="F47" s="63" t="str"/>
      <x:c r="G47" s="63" t="str"/>
      <x:c r="H47" s="63" t="n">
        <x:v>0</x:v>
      </x:c>
      <x:c r="I47" s="72" t="str">
        <x:f>IF(OR(G47="",G47&lt;1,G47&gt;5),"",CHOOSE(G47,9,6,4,2,1)+2*IF(H47="",0,H47))</x:f>
      </x:c>
      <x:c r="J47" s="63" t="str"/>
    </x:row>
    <x:row r="48">
      <x:c r="A48" s="72" t="n">
        <x:v>1</x:v>
      </x:c>
      <x:c r="B48" s="72" t="str">
        <x:v>I</x:v>
      </x:c>
      <x:c r="C48" s="72" t="n">
        <x:v>4</x:v>
      </x:c>
      <x:c r="D48" s="72" t="n">
        <x:v>44</x:v>
      </x:c>
      <x:c r="E48" s="72" t="str">
        <x:f>IFERROR(IF(VLOOKUP(D48,Giocatori!$A$4:$C$73,2,FALSE)&lt;&gt;"",VLOOKUP(D48,Giocatori!$A$4:$C$73,2,FALSE),"Giocatore "&amp;D48),"Giocatore "&amp;D48)</x:f>
        <x:v>Abbate Michele</x:v>
      </x:c>
      <x:c r="F48" s="63" t="str"/>
      <x:c r="G48" s="63" t="str"/>
      <x:c r="H48" s="63" t="n">
        <x:v>0</x:v>
      </x:c>
      <x:c r="I48" s="72" t="str">
        <x:f>IF(OR(G48="",G48&lt;1,G48&gt;5),"",CHOOSE(G48,9,6,4,2,1)+2*IF(H48="",0,H48))</x:f>
      </x:c>
      <x:c r="J48" s="63" t="str"/>
    </x:row>
    <x:row r="49">
      <x:c r="A49" s="72" t="n">
        <x:v>1</x:v>
      </x:c>
      <x:c r="B49" s="72" t="str">
        <x:v>I</x:v>
      </x:c>
      <x:c r="C49" s="72" t="n">
        <x:v>5</x:v>
      </x:c>
      <x:c r="D49" s="72" t="n">
        <x:v>45</x:v>
      </x:c>
      <x:c r="E49" s="72" t="str">
        <x:f>IFERROR(IF(VLOOKUP(D49,Giocatori!$A$4:$C$73,2,FALSE)&lt;&gt;"",VLOOKUP(D49,Giocatori!$A$4:$C$73,2,FALSE),"Giocatore "&amp;D49),"Giocatore "&amp;D49)</x:f>
        <x:v>Isernia Antonio</x:v>
      </x:c>
      <x:c r="F49" s="63" t="str"/>
      <x:c r="G49" s="63" t="str"/>
      <x:c r="H49" s="63" t="n">
        <x:v>0</x:v>
      </x:c>
      <x:c r="I49" s="72" t="str">
        <x:f>IF(OR(G49="",G49&lt;1,G49&gt;5),"",CHOOSE(G49,9,6,4,2,1)+2*IF(H49="",0,H49))</x:f>
      </x:c>
      <x:c r="J49" s="63" t="str"/>
    </x:row>
    <x:row r="50">
      <x:c r="A50" s="72" t="n">
        <x:v>1</x:v>
      </x:c>
      <x:c r="B50" s="72" t="str">
        <x:v>J</x:v>
      </x:c>
      <x:c r="C50" s="72" t="n">
        <x:v>1</x:v>
      </x:c>
      <x:c r="D50" s="72" t="n">
        <x:v>46</x:v>
      </x:c>
      <x:c r="E50" s="72" t="str">
        <x:f>IFERROR(IF(VLOOKUP(D50,Giocatori!$A$4:$C$73,2,FALSE)&lt;&gt;"",VLOOKUP(D50,Giocatori!$A$4:$C$73,2,FALSE),"Giocatore "&amp;D50),"Giocatore "&amp;D50)</x:f>
        <x:v>Cafarelli Manolo</x:v>
      </x:c>
      <x:c r="F50" s="63" t="str"/>
      <x:c r="G50" s="63" t="str"/>
      <x:c r="H50" s="63" t="n">
        <x:v>0</x:v>
      </x:c>
      <x:c r="I50" s="72" t="str">
        <x:f>IF(OR(G50="",G50&lt;1,G50&gt;5),"",CHOOSE(G50,9,6,4,2,1)+2*IF(H50="",0,H50))</x:f>
      </x:c>
      <x:c r="J50" s="63" t="str"/>
    </x:row>
    <x:row r="51">
      <x:c r="A51" s="72" t="n">
        <x:v>1</x:v>
      </x:c>
      <x:c r="B51" s="72" t="str">
        <x:v>J</x:v>
      </x:c>
      <x:c r="C51" s="72" t="n">
        <x:v>2</x:v>
      </x:c>
      <x:c r="D51" s="72" t="n">
        <x:v>47</x:v>
      </x:c>
      <x:c r="E51" s="72" t="str">
        <x:f>IFERROR(IF(VLOOKUP(D51,Giocatori!$A$4:$C$73,2,FALSE)&lt;&gt;"",VLOOKUP(D51,Giocatori!$A$4:$C$73,2,FALSE),"Giocatore "&amp;D51),"Giocatore "&amp;D51)</x:f>
        <x:v>Casoria Felice</x:v>
      </x:c>
      <x:c r="F51" s="63" t="str"/>
      <x:c r="G51" s="63" t="str"/>
      <x:c r="H51" s="63" t="n">
        <x:v>0</x:v>
      </x:c>
      <x:c r="I51" s="72" t="str">
        <x:f>IF(OR(G51="",G51&lt;1,G51&gt;5),"",CHOOSE(G51,9,6,4,2,1)+2*IF(H51="",0,H51))</x:f>
      </x:c>
      <x:c r="J51" s="63" t="str"/>
    </x:row>
    <x:row r="52">
      <x:c r="A52" s="72" t="n">
        <x:v>1</x:v>
      </x:c>
      <x:c r="B52" s="72" t="str">
        <x:v>J</x:v>
      </x:c>
      <x:c r="C52" s="72" t="n">
        <x:v>3</x:v>
      </x:c>
      <x:c r="D52" s="72" t="n">
        <x:v>48</x:v>
      </x:c>
      <x:c r="E52" s="72" t="str">
        <x:f>IFERROR(IF(VLOOKUP(D52,Giocatori!$A$4:$C$73,2,FALSE)&lt;&gt;"",VLOOKUP(D52,Giocatori!$A$4:$C$73,2,FALSE),"Giocatore "&amp;D52),"Giocatore "&amp;D52)</x:f>
        <x:v>Nspolitano Carlo</x:v>
      </x:c>
      <x:c r="F52" s="63" t="str"/>
      <x:c r="G52" s="63" t="str"/>
      <x:c r="H52" s="63" t="n">
        <x:v>0</x:v>
      </x:c>
      <x:c r="I52" s="72" t="str">
        <x:f>IF(OR(G52="",G52&lt;1,G52&gt;5),"",CHOOSE(G52,9,6,4,2,1)+2*IF(H52="",0,H52))</x:f>
      </x:c>
      <x:c r="J52" s="63" t="str"/>
    </x:row>
    <x:row r="53">
      <x:c r="A53" s="72" t="n">
        <x:v>1</x:v>
      </x:c>
      <x:c r="B53" s="72" t="str">
        <x:v>J</x:v>
      </x:c>
      <x:c r="C53" s="72" t="n">
        <x:v>4</x:v>
      </x:c>
      <x:c r="D53" s="72" t="n">
        <x:v>49</x:v>
      </x:c>
      <x:c r="E53" s="72" t="str">
        <x:f>IFERROR(IF(VLOOKUP(D53,Giocatori!$A$4:$C$73,2,FALSE)&lt;&gt;"",VLOOKUP(D53,Giocatori!$A$4:$C$73,2,FALSE),"Giocatore "&amp;D53),"Giocatore "&amp;D53)</x:f>
        <x:v>Tufano Michele</x:v>
      </x:c>
      <x:c r="F53" s="63" t="str"/>
      <x:c r="G53" s="63" t="str"/>
      <x:c r="H53" s="63" t="n">
        <x:v>0</x:v>
      </x:c>
      <x:c r="I53" s="72" t="str">
        <x:f>IF(OR(G53="",G53&lt;1,G53&gt;5),"",CHOOSE(G53,9,6,4,2,1)+2*IF(H53="",0,H53))</x:f>
      </x:c>
      <x:c r="J53" s="63" t="str"/>
    </x:row>
    <x:row r="54">
      <x:c r="A54" s="72" t="n">
        <x:v>1</x:v>
      </x:c>
      <x:c r="B54" s="72" t="str">
        <x:v>J</x:v>
      </x:c>
      <x:c r="C54" s="72" t="n">
        <x:v>5</x:v>
      </x:c>
      <x:c r="D54" s="72" t="n">
        <x:v>50</x:v>
      </x:c>
      <x:c r="E54" s="72" t="str">
        <x:f>IFERROR(IF(VLOOKUP(D54,Giocatori!$A$4:$C$73,2,FALSE)&lt;&gt;"",VLOOKUP(D54,Giocatori!$A$4:$C$73,2,FALSE),"Giocatore "&amp;D54),"Giocatore "&amp;D54)</x:f>
        <x:v>Bartolo</x:v>
      </x:c>
      <x:c r="F54" s="63" t="str"/>
      <x:c r="G54" s="63" t="str"/>
      <x:c r="H54" s="63" t="n">
        <x:v>0</x:v>
      </x:c>
      <x:c r="I54" s="72" t="str">
        <x:f>IF(OR(G54="",G54&lt;1,G54&gt;5),"",CHOOSE(G54,9,6,4,2,1)+2*IF(H54="",0,H54))</x:f>
      </x:c>
      <x:c r="J54" s="63" t="str"/>
    </x:row>
    <x:row r="55">
      <x:c r="A55" s="72" t="n">
        <x:v>1</x:v>
      </x:c>
      <x:c r="B55" s="72" t="str">
        <x:v>K</x:v>
      </x:c>
      <x:c r="C55" s="72" t="n">
        <x:v>1</x:v>
      </x:c>
      <x:c r="D55" s="72" t="n">
        <x:v>51</x:v>
      </x:c>
      <x:c r="E55" s="72" t="str">
        <x:f>IFERROR(IF(VLOOKUP(D55,Giocatori!$A$4:$C$73,2,FALSE)&lt;&gt;"",VLOOKUP(D55,Giocatori!$A$4:$C$73,2,FALSE),"Giocatore "&amp;D55),"Giocatore "&amp;D55)</x:f>
        <x:v>Domenico</x:v>
      </x:c>
      <x:c r="F55" s="63" t="str"/>
      <x:c r="G55" s="63" t="str"/>
      <x:c r="H55" s="63" t="n">
        <x:v>0</x:v>
      </x:c>
      <x:c r="I55" s="72" t="str">
        <x:f>IF(OR(G55="",G55&lt;1,G55&gt;5),"",CHOOSE(G55,9,6,4,2,1)+2*IF(H55="",0,H55))</x:f>
      </x:c>
      <x:c r="J55" s="63" t="str"/>
    </x:row>
    <x:row r="56">
      <x:c r="A56" s="72" t="n">
        <x:v>1</x:v>
      </x:c>
      <x:c r="B56" s="72" t="str">
        <x:v>K</x:v>
      </x:c>
      <x:c r="C56" s="72" t="n">
        <x:v>2</x:v>
      </x:c>
      <x:c r="D56" s="72" t="n">
        <x:v>52</x:v>
      </x:c>
      <x:c r="E56" s="72" t="str">
        <x:f>IFERROR(IF(VLOOKUP(D56,Giocatori!$A$4:$C$73,2,FALSE)&lt;&gt;"",VLOOKUP(D56,Giocatori!$A$4:$C$73,2,FALSE),"Giocatore "&amp;D56),"Giocatore "&amp;D56)</x:f>
        <x:v>Montanera Michele</x:v>
      </x:c>
      <x:c r="F56" s="63" t="str"/>
      <x:c r="G56" s="63" t="str"/>
      <x:c r="H56" s="63" t="n">
        <x:v>0</x:v>
      </x:c>
      <x:c r="I56" s="72" t="str">
        <x:f>IF(OR(G56="",G56&lt;1,G56&gt;5),"",CHOOSE(G56,9,6,4,2,1)+2*IF(H56="",0,H56))</x:f>
      </x:c>
      <x:c r="J56" s="63" t="str"/>
    </x:row>
    <x:row r="57">
      <x:c r="A57" s="72" t="n">
        <x:v>1</x:v>
      </x:c>
      <x:c r="B57" s="72" t="str">
        <x:v>K</x:v>
      </x:c>
      <x:c r="C57" s="72" t="n">
        <x:v>3</x:v>
      </x:c>
      <x:c r="D57" s="72" t="n">
        <x:v>53</x:v>
      </x:c>
      <x:c r="E57" s="72" t="str">
        <x:f>IFERROR(IF(VLOOKUP(D57,Giocatori!$A$4:$C$73,2,FALSE)&lt;&gt;"",VLOOKUP(D57,Giocatori!$A$4:$C$73,2,FALSE),"Giocatore "&amp;D57),"Giocatore "&amp;D57)</x:f>
        <x:v>Gaita Rossano</x:v>
      </x:c>
      <x:c r="F57" s="63" t="str"/>
      <x:c r="G57" s="63" t="str"/>
      <x:c r="H57" s="63" t="n">
        <x:v>0</x:v>
      </x:c>
      <x:c r="I57" s="72" t="str">
        <x:f>IF(OR(G57="",G57&lt;1,G57&gt;5),"",CHOOSE(G57,9,6,4,2,1)+2*IF(H57="",0,H57))</x:f>
      </x:c>
      <x:c r="J57" s="63" t="str"/>
    </x:row>
    <x:row r="58">
      <x:c r="A58" s="72" t="n">
        <x:v>1</x:v>
      </x:c>
      <x:c r="B58" s="72" t="str">
        <x:v>K</x:v>
      </x:c>
      <x:c r="C58" s="72" t="n">
        <x:v>4</x:v>
      </x:c>
      <x:c r="D58" s="72" t="n">
        <x:v>54</x:v>
      </x:c>
      <x:c r="E58" s="72" t="str">
        <x:f>IFERROR(IF(VLOOKUP(D58,Giocatori!$A$4:$C$73,2,FALSE)&lt;&gt;"",VLOOKUP(D58,Giocatori!$A$4:$C$73,2,FALSE),"Giocatore "&amp;D58),"Giocatore "&amp;D58)</x:f>
        <x:v>Giugliano Domenico</x:v>
      </x:c>
      <x:c r="F58" s="63" t="str"/>
      <x:c r="G58" s="63" t="str"/>
      <x:c r="H58" s="63" t="n">
        <x:v>0</x:v>
      </x:c>
      <x:c r="I58" s="72" t="str">
        <x:f>IF(OR(G58="",G58&lt;1,G58&gt;5),"",CHOOSE(G58,9,6,4,2,1)+2*IF(H58="",0,H58))</x:f>
      </x:c>
      <x:c r="J58" s="63" t="str"/>
    </x:row>
    <x:row r="59">
      <x:c r="A59" s="72" t="n">
        <x:v>1</x:v>
      </x:c>
      <x:c r="B59" s="72" t="str">
        <x:v>K</x:v>
      </x:c>
      <x:c r="C59" s="72" t="n">
        <x:v>5</x:v>
      </x:c>
      <x:c r="D59" s="72" t="n">
        <x:v>55</x:v>
      </x:c>
      <x:c r="E59" s="72" t="str">
        <x:f>IFERROR(IF(VLOOKUP(D59,Giocatori!$A$4:$C$73,2,FALSE)&lt;&gt;"",VLOOKUP(D59,Giocatori!$A$4:$C$73,2,FALSE),"Giocatore "&amp;D59),"Giocatore "&amp;D59)</x:f>
        <x:v>Montanera Raffaele</x:v>
      </x:c>
      <x:c r="F59" s="63" t="str"/>
      <x:c r="G59" s="63" t="str"/>
      <x:c r="H59" s="63" t="n">
        <x:v>0</x:v>
      </x:c>
      <x:c r="I59" s="72" t="str">
        <x:f>IF(OR(G59="",G59&lt;1,G59&gt;5),"",CHOOSE(G59,9,6,4,2,1)+2*IF(H59="",0,H59))</x:f>
      </x:c>
      <x:c r="J59" s="63" t="str"/>
    </x:row>
    <x:row r="60">
      <x:c r="A60" s="72" t="n">
        <x:v>1</x:v>
      </x:c>
      <x:c r="B60" s="72" t="str">
        <x:v>L</x:v>
      </x:c>
      <x:c r="C60" s="72" t="n">
        <x:v>1</x:v>
      </x:c>
      <x:c r="D60" s="72" t="n">
        <x:v>56</x:v>
      </x:c>
      <x:c r="E60" s="72" t="str">
        <x:f>IFERROR(IF(VLOOKUP(D60,Giocatori!$A$4:$C$73,2,FALSE)&lt;&gt;"",VLOOKUP(D60,Giocatori!$A$4:$C$73,2,FALSE),"Giocatore "&amp;D60),"Giocatore "&amp;D60)</x:f>
        <x:v>Oreste</x:v>
      </x:c>
      <x:c r="F60" s="63" t="str"/>
      <x:c r="G60" s="63" t="str"/>
      <x:c r="H60" s="63" t="n">
        <x:v>0</x:v>
      </x:c>
      <x:c r="I60" s="72" t="str">
        <x:f>IF(OR(G60="",G60&lt;1,G60&gt;5),"",CHOOSE(G60,9,6,4,2,1)+2*IF(H60="",0,H60))</x:f>
      </x:c>
      <x:c r="J60" s="63" t="str"/>
    </x:row>
    <x:row r="61">
      <x:c r="A61" s="72" t="n">
        <x:v>1</x:v>
      </x:c>
      <x:c r="B61" s="72" t="str">
        <x:v>L</x:v>
      </x:c>
      <x:c r="C61" s="72" t="n">
        <x:v>2</x:v>
      </x:c>
      <x:c r="D61" s="72" t="n">
        <x:v>57</x:v>
      </x:c>
      <x:c r="E61" s="72" t="str">
        <x:f>IFERROR(IF(VLOOKUP(D61,Giocatori!$A$4:$C$73,2,FALSE)&lt;&gt;"",VLOOKUP(D61,Giocatori!$A$4:$C$73,2,FALSE),"Giocatore "&amp;D61),"Giocatore "&amp;D61)</x:f>
        <x:v>Sirico Crescenzo</x:v>
      </x:c>
      <x:c r="F61" s="63" t="str"/>
      <x:c r="G61" s="63" t="str"/>
      <x:c r="H61" s="63" t="n">
        <x:v>0</x:v>
      </x:c>
      <x:c r="I61" s="72" t="str">
        <x:f>IF(OR(G61="",G61&lt;1,G61&gt;5),"",CHOOSE(G61,9,6,4,2,1)+2*IF(H61="",0,H61))</x:f>
      </x:c>
      <x:c r="J61" s="63" t="str"/>
    </x:row>
    <x:row r="62">
      <x:c r="A62" s="72" t="n">
        <x:v>1</x:v>
      </x:c>
      <x:c r="B62" s="72" t="str">
        <x:v>L</x:v>
      </x:c>
      <x:c r="C62" s="72" t="n">
        <x:v>3</x:v>
      </x:c>
      <x:c r="D62" s="72" t="n">
        <x:v>58</x:v>
      </x:c>
      <x:c r="E62" s="72" t="str">
        <x:f>IFERROR(IF(VLOOKUP(D62,Giocatori!$A$4:$C$73,2,FALSE)&lt;&gt;"",VLOOKUP(D62,Giocatori!$A$4:$C$73,2,FALSE),"Giocatore "&amp;D62),"Giocatore "&amp;D62)</x:f>
        <x:v>Mauro Salvatore</x:v>
      </x:c>
      <x:c r="F62" s="63" t="str"/>
      <x:c r="G62" s="63" t="str"/>
      <x:c r="H62" s="63" t="n">
        <x:v>0</x:v>
      </x:c>
      <x:c r="I62" s="72" t="str">
        <x:f>IF(OR(G62="",G62&lt;1,G62&gt;5),"",CHOOSE(G62,9,6,4,2,1)+2*IF(H62="",0,H62))</x:f>
      </x:c>
      <x:c r="J62" s="63" t="str"/>
    </x:row>
    <x:row r="63">
      <x:c r="A63" s="72" t="n">
        <x:v>1</x:v>
      </x:c>
      <x:c r="B63" s="72" t="str">
        <x:v>L</x:v>
      </x:c>
      <x:c r="C63" s="72" t="n">
        <x:v>4</x:v>
      </x:c>
      <x:c r="D63" s="72" t="n">
        <x:v>59</x:v>
      </x:c>
      <x:c r="E63" s="72" t="str">
        <x:f>IFERROR(IF(VLOOKUP(D63,Giocatori!$A$4:$C$73,2,FALSE)&lt;&gt;"",VLOOKUP(D63,Giocatori!$A$4:$C$73,2,FALSE),"Giocatore "&amp;D63),"Giocatore "&amp;D63)</x:f>
        <x:v>Angiero Anna</x:v>
      </x:c>
      <x:c r="F63" s="63" t="str"/>
      <x:c r="G63" s="63" t="str"/>
      <x:c r="H63" s="63" t="n">
        <x:v>0</x:v>
      </x:c>
      <x:c r="I63" s="72" t="str">
        <x:f>IF(OR(G63="",G63&lt;1,G63&gt;5),"",CHOOSE(G63,9,6,4,2,1)+2*IF(H63="",0,H63))</x:f>
      </x:c>
      <x:c r="J63" s="63" t="str"/>
    </x:row>
    <x:row r="64">
      <x:c r="A64" s="72" t="n">
        <x:v>1</x:v>
      </x:c>
      <x:c r="B64" s="72" t="str">
        <x:v>L</x:v>
      </x:c>
      <x:c r="C64" s="72" t="n">
        <x:v>5</x:v>
      </x:c>
      <x:c r="D64" s="72" t="n">
        <x:v>60</x:v>
      </x:c>
      <x:c r="E64" s="72" t="str">
        <x:f>IFERROR(IF(VLOOKUP(D64,Giocatori!$A$4:$C$73,2,FALSE)&lt;&gt;"",VLOOKUP(D64,Giocatori!$A$4:$C$73,2,FALSE),"Giocatore "&amp;D64),"Giocatore "&amp;D64)</x:f>
        <x:v>Di Grazia Salvatore</x:v>
      </x:c>
      <x:c r="F64" s="63" t="str"/>
      <x:c r="G64" s="63" t="str"/>
      <x:c r="H64" s="63" t="n">
        <x:v>0</x:v>
      </x:c>
      <x:c r="I64" s="72" t="str">
        <x:f>IF(OR(G64="",G64&lt;1,G64&gt;5),"",CHOOSE(G64,9,6,4,2,1)+2*IF(H64="",0,H64))</x:f>
      </x:c>
      <x:c r="J64" s="63" t="str"/>
    </x:row>
    <x:row r="65">
      <x:c r="A65" s="72" t="n">
        <x:v>1</x:v>
      </x:c>
      <x:c r="B65" s="72" t="str">
        <x:v>M</x:v>
      </x:c>
      <x:c r="C65" s="72" t="n">
        <x:v>1</x:v>
      </x:c>
      <x:c r="D65" s="72" t="n">
        <x:v>61</x:v>
      </x:c>
      <x:c r="E65" s="72" t="str">
        <x:f>IFERROR(IF(VLOOKUP(D65,Giocatori!$A$4:$C$73,2,FALSE)&lt;&gt;"",VLOOKUP(D65,Giocatori!$A$4:$C$73,2,FALSE),"Giocatore "&amp;D65),"Giocatore "&amp;D65)</x:f>
        <x:v>Mauro Cantice</x:v>
      </x:c>
      <x:c r="F65" s="63" t="str"/>
      <x:c r="G65" s="63" t="str"/>
      <x:c r="H65" s="63" t="n">
        <x:v>0</x:v>
      </x:c>
      <x:c r="I65" s="72" t="str">
        <x:f>IF(OR(G65="",G65&lt;1,G65&gt;5),"",CHOOSE(G65,9,6,4,2,1)+2*IF(H65="",0,H65))</x:f>
      </x:c>
      <x:c r="J65" s="63" t="str"/>
    </x:row>
    <x:row r="66">
      <x:c r="A66" s="72" t="n">
        <x:v>1</x:v>
      </x:c>
      <x:c r="B66" s="72" t="str">
        <x:v>M</x:v>
      </x:c>
      <x:c r="C66" s="72" t="n">
        <x:v>2</x:v>
      </x:c>
      <x:c r="D66" s="72" t="n">
        <x:v>62</x:v>
      </x:c>
      <x:c r="E66" s="72" t="str">
        <x:f>IFERROR(IF(VLOOKUP(D66,Giocatori!$A$4:$C$73,2,FALSE)&lt;&gt;"",VLOOKUP(D66,Giocatori!$A$4:$C$73,2,FALSE),"Giocatore "&amp;D66),"Giocatore "&amp;D66)</x:f>
        <x:v>Corbo Angelo</x:v>
      </x:c>
      <x:c r="F66" s="63" t="str"/>
      <x:c r="G66" s="63" t="str"/>
      <x:c r="H66" s="63" t="n">
        <x:v>0</x:v>
      </x:c>
      <x:c r="I66" s="72" t="str">
        <x:f>IF(OR(G66="",G66&lt;1,G66&gt;5),"",CHOOSE(G66,9,6,4,2,1)+2*IF(H66="",0,H66))</x:f>
      </x:c>
      <x:c r="J66" s="63" t="str"/>
    </x:row>
    <x:row r="67">
      <x:c r="A67" s="72" t="n">
        <x:v>1</x:v>
      </x:c>
      <x:c r="B67" s="72" t="str">
        <x:v>M</x:v>
      </x:c>
      <x:c r="C67" s="72" t="n">
        <x:v>3</x:v>
      </x:c>
      <x:c r="D67" s="72" t="n">
        <x:v>63</x:v>
      </x:c>
      <x:c r="E67" s="72" t="str">
        <x:f>IFERROR(IF(VLOOKUP(D67,Giocatori!$A$4:$C$73,2,FALSE)&lt;&gt;"",VLOOKUP(D67,Giocatori!$A$4:$C$73,2,FALSE),"Giocatore "&amp;D67),"Giocatore "&amp;D67)</x:f>
        <x:v>Fuschillo Francesco</x:v>
      </x:c>
      <x:c r="F67" s="63" t="str"/>
      <x:c r="G67" s="63" t="str"/>
      <x:c r="H67" s="63" t="n">
        <x:v>0</x:v>
      </x:c>
      <x:c r="I67" s="72" t="str">
        <x:f>IF(OR(G67="",G67&lt;1,G67&gt;5),"",CHOOSE(G67,9,6,4,2,1)+2*IF(H67="",0,H67))</x:f>
      </x:c>
      <x:c r="J67" s="63" t="str"/>
    </x:row>
    <x:row r="68">
      <x:c r="A68" s="72" t="n">
        <x:v>1</x:v>
      </x:c>
      <x:c r="B68" s="72" t="str">
        <x:v>M</x:v>
      </x:c>
      <x:c r="C68" s="72" t="n">
        <x:v>4</x:v>
      </x:c>
      <x:c r="D68" s="72" t="n">
        <x:v>64</x:v>
      </x:c>
      <x:c r="E68" s="72" t="str">
        <x:f>IFERROR(IF(VLOOKUP(D68,Giocatori!$A$4:$C$73,2,FALSE)&lt;&gt;"",VLOOKUP(D68,Giocatori!$A$4:$C$73,2,FALSE),"Giocatore "&amp;D68),"Giocatore "&amp;D68)</x:f>
        <x:v>Tufano Michele 2</x:v>
      </x:c>
      <x:c r="F68" s="63" t="str"/>
      <x:c r="G68" s="63" t="str"/>
      <x:c r="H68" s="63" t="n">
        <x:v>0</x:v>
      </x:c>
      <x:c r="I68" s="72" t="str">
        <x:f>IF(OR(G68="",G68&lt;1,G68&gt;5),"",CHOOSE(G68,9,6,4,2,1)+2*IF(H68="",0,H68))</x:f>
      </x:c>
      <x:c r="J68" s="63" t="str"/>
    </x:row>
    <x:row r="69">
      <x:c r="A69" s="72" t="n">
        <x:v>1</x:v>
      </x:c>
      <x:c r="B69" s="72" t="str">
        <x:v>M</x:v>
      </x:c>
      <x:c r="C69" s="72" t="n">
        <x:v>5</x:v>
      </x:c>
      <x:c r="D69" s="72" t="n">
        <x:v>65</x:v>
      </x:c>
      <x:c r="E69" s="72" t="str">
        <x:f>IFERROR(IF(VLOOKUP(D69,Giocatori!$A$4:$C$73,2,FALSE)&lt;&gt;"",VLOOKUP(D69,Giocatori!$A$4:$C$73,2,FALSE),"Giocatore "&amp;D69),"Giocatore "&amp;D69)</x:f>
        <x:v>Tufano Michele 3</x:v>
      </x:c>
      <x:c r="F69" s="63" t="str"/>
      <x:c r="G69" s="63" t="str"/>
      <x:c r="H69" s="63" t="n">
        <x:v>0</x:v>
      </x:c>
      <x:c r="I69" s="72" t="str">
        <x:f>IF(OR(G69="",G69&lt;1,G69&gt;5),"",CHOOSE(G69,9,6,4,2,1)+2*IF(H69="",0,H69))</x:f>
      </x:c>
      <x:c r="J69" s="63" t="str"/>
    </x:row>
    <x:row r="70">
      <x:c r="A70" s="72" t="n">
        <x:v>1</x:v>
      </x:c>
      <x:c r="B70" s="72" t="str">
        <x:v>N</x:v>
      </x:c>
      <x:c r="C70" s="72" t="n">
        <x:v>1</x:v>
      </x:c>
      <x:c r="D70" s="72" t="n">
        <x:v>66</x:v>
      </x:c>
      <x:c r="E70" s="72" t="str">
        <x:f>IFERROR(IF(VLOOKUP(D70,Giocatori!$A$4:$C$73,2,FALSE)&lt;&gt;"",VLOOKUP(D70,Giocatori!$A$4:$C$73,2,FALSE),"Giocatore "&amp;D70),"Giocatore "&amp;D70)</x:f>
        <x:v>Giocatore 66</x:v>
      </x:c>
      <x:c r="F70" s="63" t="str"/>
      <x:c r="G70" s="63" t="str"/>
      <x:c r="H70" s="63" t="n">
        <x:v>0</x:v>
      </x:c>
      <x:c r="I70" s="72" t="str">
        <x:f>IF(OR(G70="",G70&lt;1,G70&gt;5),"",CHOOSE(G70,9,6,4,2,1)+2*IF(H70="",0,H70))</x:f>
      </x:c>
      <x:c r="J70" s="63" t="str"/>
    </x:row>
    <x:row r="71">
      <x:c r="A71" s="72" t="n">
        <x:v>1</x:v>
      </x:c>
      <x:c r="B71" s="72" t="str">
        <x:v>N</x:v>
      </x:c>
      <x:c r="C71" s="72" t="n">
        <x:v>2</x:v>
      </x:c>
      <x:c r="D71" s="72" t="n">
        <x:v>67</x:v>
      </x:c>
      <x:c r="E71" s="72" t="str">
        <x:f>IFERROR(IF(VLOOKUP(D71,Giocatori!$A$4:$C$73,2,FALSE)&lt;&gt;"",VLOOKUP(D71,Giocatori!$A$4:$C$73,2,FALSE),"Giocatore "&amp;D71),"Giocatore "&amp;D71)</x:f>
        <x:v>Giocatore 67</x:v>
      </x:c>
      <x:c r="F71" s="63" t="str"/>
      <x:c r="G71" s="63" t="str"/>
      <x:c r="H71" s="63" t="n">
        <x:v>0</x:v>
      </x:c>
      <x:c r="I71" s="72" t="str">
        <x:f>IF(OR(G71="",G71&lt;1,G71&gt;5),"",CHOOSE(G71,9,6,4,2,1)+2*IF(H71="",0,H71))</x:f>
      </x:c>
      <x:c r="J71" s="63" t="str"/>
    </x:row>
    <x:row r="72">
      <x:c r="A72" s="72" t="n">
        <x:v>1</x:v>
      </x:c>
      <x:c r="B72" s="72" t="str">
        <x:v>N</x:v>
      </x:c>
      <x:c r="C72" s="72" t="n">
        <x:v>3</x:v>
      </x:c>
      <x:c r="D72" s="72" t="n">
        <x:v>68</x:v>
      </x:c>
      <x:c r="E72" s="72" t="str">
        <x:f>IFERROR(IF(VLOOKUP(D72,Giocatori!$A$4:$C$73,2,FALSE)&lt;&gt;"",VLOOKUP(D72,Giocatori!$A$4:$C$73,2,FALSE),"Giocatore "&amp;D72),"Giocatore "&amp;D72)</x:f>
        <x:v>Giocatore 68</x:v>
      </x:c>
      <x:c r="F72" s="63" t="str"/>
      <x:c r="G72" s="63" t="str"/>
      <x:c r="H72" s="63" t="n">
        <x:v>0</x:v>
      </x:c>
      <x:c r="I72" s="72" t="str">
        <x:f>IF(OR(G72="",G72&lt;1,G72&gt;5),"",CHOOSE(G72,9,6,4,2,1)+2*IF(H72="",0,H72))</x:f>
      </x:c>
      <x:c r="J72" s="63" t="str"/>
    </x:row>
    <x:row r="73">
      <x:c r="A73" s="72" t="n">
        <x:v>1</x:v>
      </x:c>
      <x:c r="B73" s="72" t="str">
        <x:v>N</x:v>
      </x:c>
      <x:c r="C73" s="72" t="n">
        <x:v>4</x:v>
      </x:c>
      <x:c r="D73" s="72" t="n">
        <x:v>69</x:v>
      </x:c>
      <x:c r="E73" s="72" t="str">
        <x:f>IFERROR(IF(VLOOKUP(D73,Giocatori!$A$4:$C$73,2,FALSE)&lt;&gt;"",VLOOKUP(D73,Giocatori!$A$4:$C$73,2,FALSE),"Giocatore "&amp;D73),"Giocatore "&amp;D73)</x:f>
        <x:v>Giocatore 69</x:v>
      </x:c>
      <x:c r="F73" s="63" t="str"/>
      <x:c r="G73" s="63" t="str"/>
      <x:c r="H73" s="63" t="n">
        <x:v>0</x:v>
      </x:c>
      <x:c r="I73" s="72" t="str">
        <x:f>IF(OR(G73="",G73&lt;1,G73&gt;5),"",CHOOSE(G73,9,6,4,2,1)+2*IF(H73="",0,H73))</x:f>
      </x:c>
      <x:c r="J73" s="63" t="str"/>
    </x:row>
    <x:row r="74">
      <x:c r="A74" s="72" t="n">
        <x:v>1</x:v>
      </x:c>
      <x:c r="B74" s="72" t="str">
        <x:v>N</x:v>
      </x:c>
      <x:c r="C74" s="72" t="n">
        <x:v>5</x:v>
      </x:c>
      <x:c r="D74" s="72" t="n">
        <x:v>70</x:v>
      </x:c>
      <x:c r="E74" s="72" t="str">
        <x:f>IFERROR(IF(VLOOKUP(D74,Giocatori!$A$4:$C$73,2,FALSE)&lt;&gt;"",VLOOKUP(D74,Giocatori!$A$4:$C$73,2,FALSE),"Giocatore "&amp;D74),"Giocatore "&amp;D74)</x:f>
        <x:v>Giocatore 70</x:v>
      </x:c>
      <x:c r="F74" s="63" t="str"/>
      <x:c r="G74" s="63" t="str"/>
      <x:c r="H74" s="63" t="n">
        <x:v>0</x:v>
      </x:c>
      <x:c r="I74" s="72" t="str">
        <x:f>IF(OR(G74="",G74&lt;1,G74&gt;5),"",CHOOSE(G74,9,6,4,2,1)+2*IF(H74="",0,H74))</x:f>
      </x:c>
      <x:c r="J74" s="63" t="str"/>
    </x:row>
    <x:row r="75">
      <x:c r="A75" s="76" t="n">
        <x:v>2</x:v>
      </x:c>
      <x:c r="B75" s="76" t="str">
        <x:v>A</x:v>
      </x:c>
      <x:c r="C75" s="76" t="n">
        <x:v>1</x:v>
      </x:c>
      <x:c r="D75" s="76" t="n">
        <x:v>1</x:v>
      </x:c>
      <x:c r="E75" s="76" t="str">
        <x:f>IFERROR(IF(VLOOKUP(D75,Giocatori!$A$4:$C$73,2,FALSE)&lt;&gt;"",VLOOKUP(D75,Giocatori!$A$4:$C$73,2,FALSE),"Giocatore "&amp;D75),"Giocatore "&amp;D75)</x:f>
        <x:v>Annunziata Michele</x:v>
      </x:c>
      <x:c r="F75" s="77" t="str"/>
      <x:c r="G75" s="77" t="str"/>
      <x:c r="H75" s="77" t="n">
        <x:v>0</x:v>
      </x:c>
      <x:c r="I75" s="76" t="str">
        <x:f>IF(OR(G75="",G75&lt;1,G75&gt;5),"",CHOOSE(G75,9,6,4,2,1)+2*IF(H75="",0,H75))</x:f>
      </x:c>
      <x:c r="J75" s="77" t="str"/>
    </x:row>
    <x:row r="76">
      <x:c r="A76" s="72" t="n">
        <x:v>2</x:v>
      </x:c>
      <x:c r="B76" s="72" t="str">
        <x:v>A</x:v>
      </x:c>
      <x:c r="C76" s="72" t="n">
        <x:v>2</x:v>
      </x:c>
      <x:c r="D76" s="72" t="n">
        <x:v>67</x:v>
      </x:c>
      <x:c r="E76" s="72" t="str">
        <x:f>IFERROR(IF(VLOOKUP(D76,Giocatori!$A$4:$C$73,2,FALSE)&lt;&gt;"",VLOOKUP(D76,Giocatori!$A$4:$C$73,2,FALSE),"Giocatore "&amp;D76),"Giocatore "&amp;D76)</x:f>
        <x:v>Giocatore 67</x:v>
      </x:c>
      <x:c r="F76" s="63" t="str"/>
      <x:c r="G76" s="63" t="str"/>
      <x:c r="H76" s="63" t="n">
        <x:v>0</x:v>
      </x:c>
      <x:c r="I76" s="72" t="str">
        <x:f>IF(OR(G76="",G76&lt;1,G76&gt;5),"",CHOOSE(G76,9,6,4,2,1)+2*IF(H76="",0,H76))</x:f>
      </x:c>
      <x:c r="J76" s="63" t="str"/>
    </x:row>
    <x:row r="77">
      <x:c r="A77" s="72" t="n">
        <x:v>2</x:v>
      </x:c>
      <x:c r="B77" s="72" t="str">
        <x:v>A</x:v>
      </x:c>
      <x:c r="C77" s="72" t="n">
        <x:v>3</x:v>
      </x:c>
      <x:c r="D77" s="72" t="n">
        <x:v>63</x:v>
      </x:c>
      <x:c r="E77" s="72" t="str">
        <x:f>IFERROR(IF(VLOOKUP(D77,Giocatori!$A$4:$C$73,2,FALSE)&lt;&gt;"",VLOOKUP(D77,Giocatori!$A$4:$C$73,2,FALSE),"Giocatore "&amp;D77),"Giocatore "&amp;D77)</x:f>
        <x:v>Fuschillo Francesco</x:v>
      </x:c>
      <x:c r="F77" s="63" t="str"/>
      <x:c r="G77" s="63" t="str"/>
      <x:c r="H77" s="63" t="n">
        <x:v>0</x:v>
      </x:c>
      <x:c r="I77" s="72" t="str">
        <x:f>IF(OR(G77="",G77&lt;1,G77&gt;5),"",CHOOSE(G77,9,6,4,2,1)+2*IF(H77="",0,H77))</x:f>
      </x:c>
      <x:c r="J77" s="63" t="str"/>
    </x:row>
    <x:row r="78">
      <x:c r="A78" s="72" t="n">
        <x:v>2</x:v>
      </x:c>
      <x:c r="B78" s="72" t="str">
        <x:v>A</x:v>
      </x:c>
      <x:c r="C78" s="72" t="n">
        <x:v>4</x:v>
      </x:c>
      <x:c r="D78" s="72" t="n">
        <x:v>59</x:v>
      </x:c>
      <x:c r="E78" s="72" t="str">
        <x:f>IFERROR(IF(VLOOKUP(D78,Giocatori!$A$4:$C$73,2,FALSE)&lt;&gt;"",VLOOKUP(D78,Giocatori!$A$4:$C$73,2,FALSE),"Giocatore "&amp;D78),"Giocatore "&amp;D78)</x:f>
        <x:v>Angiero Anna</x:v>
      </x:c>
      <x:c r="F78" s="63" t="str"/>
      <x:c r="G78" s="63" t="str"/>
      <x:c r="H78" s="63" t="n">
        <x:v>0</x:v>
      </x:c>
      <x:c r="I78" s="72" t="str">
        <x:f>IF(OR(G78="",G78&lt;1,G78&gt;5),"",CHOOSE(G78,9,6,4,2,1)+2*IF(H78="",0,H78))</x:f>
      </x:c>
      <x:c r="J78" s="63" t="str"/>
    </x:row>
    <x:row r="79">
      <x:c r="A79" s="72" t="n">
        <x:v>2</x:v>
      </x:c>
      <x:c r="B79" s="72" t="str">
        <x:v>A</x:v>
      </x:c>
      <x:c r="C79" s="72" t="n">
        <x:v>5</x:v>
      </x:c>
      <x:c r="D79" s="72" t="n">
        <x:v>55</x:v>
      </x:c>
      <x:c r="E79" s="72" t="str">
        <x:f>IFERROR(IF(VLOOKUP(D79,Giocatori!$A$4:$C$73,2,FALSE)&lt;&gt;"",VLOOKUP(D79,Giocatori!$A$4:$C$73,2,FALSE),"Giocatore "&amp;D79),"Giocatore "&amp;D79)</x:f>
        <x:v>Montanera Raffaele</x:v>
      </x:c>
      <x:c r="F79" s="63" t="str"/>
      <x:c r="G79" s="63" t="str"/>
      <x:c r="H79" s="63" t="n">
        <x:v>0</x:v>
      </x:c>
      <x:c r="I79" s="72" t="str">
        <x:f>IF(OR(G79="",G79&lt;1,G79&gt;5),"",CHOOSE(G79,9,6,4,2,1)+2*IF(H79="",0,H79))</x:f>
      </x:c>
      <x:c r="J79" s="63" t="str"/>
    </x:row>
    <x:row r="80">
      <x:c r="A80" s="72" t="n">
        <x:v>2</x:v>
      </x:c>
      <x:c r="B80" s="72" t="str">
        <x:v>B</x:v>
      </x:c>
      <x:c r="C80" s="72" t="n">
        <x:v>1</x:v>
      </x:c>
      <x:c r="D80" s="72" t="n">
        <x:v>6</x:v>
      </x:c>
      <x:c r="E80" s="72" t="str">
        <x:f>IFERROR(IF(VLOOKUP(D80,Giocatori!$A$4:$C$73,2,FALSE)&lt;&gt;"",VLOOKUP(D80,Giocatori!$A$4:$C$73,2,FALSE),"Giocatore "&amp;D80),"Giocatore "&amp;D80)</x:f>
        <x:v>Panico Pasquale</x:v>
      </x:c>
      <x:c r="F80" s="63" t="str"/>
      <x:c r="G80" s="63" t="str"/>
      <x:c r="H80" s="63" t="n">
        <x:v>0</x:v>
      </x:c>
      <x:c r="I80" s="72" t="str">
        <x:f>IF(OR(G80="",G80&lt;1,G80&gt;5),"",CHOOSE(G80,9,6,4,2,1)+2*IF(H80="",0,H80))</x:f>
      </x:c>
      <x:c r="J80" s="63" t="str"/>
    </x:row>
    <x:row r="81">
      <x:c r="A81" s="72" t="n">
        <x:v>2</x:v>
      </x:c>
      <x:c r="B81" s="72" t="str">
        <x:v>B</x:v>
      </x:c>
      <x:c r="C81" s="72" t="n">
        <x:v>2</x:v>
      </x:c>
      <x:c r="D81" s="72" t="n">
        <x:v>2</x:v>
      </x:c>
      <x:c r="E81" s="72" t="str">
        <x:f>IFERROR(IF(VLOOKUP(D81,Giocatori!$A$4:$C$73,2,FALSE)&lt;&gt;"",VLOOKUP(D81,Giocatori!$A$4:$C$73,2,FALSE),"Giocatore "&amp;D81),"Giocatore "&amp;D81)</x:f>
        <x:v>La Marca Carlo</x:v>
      </x:c>
      <x:c r="F81" s="63" t="str"/>
      <x:c r="G81" s="63" t="str"/>
      <x:c r="H81" s="63" t="n">
        <x:v>0</x:v>
      </x:c>
      <x:c r="I81" s="72" t="str">
        <x:f>IF(OR(G81="",G81&lt;1,G81&gt;5),"",CHOOSE(G81,9,6,4,2,1)+2*IF(H81="",0,H81))</x:f>
      </x:c>
      <x:c r="J81" s="63" t="str"/>
    </x:row>
    <x:row r="82">
      <x:c r="A82" s="72" t="n">
        <x:v>2</x:v>
      </x:c>
      <x:c r="B82" s="72" t="str">
        <x:v>B</x:v>
      </x:c>
      <x:c r="C82" s="72" t="n">
        <x:v>3</x:v>
      </x:c>
      <x:c r="D82" s="72" t="n">
        <x:v>68</x:v>
      </x:c>
      <x:c r="E82" s="72" t="str">
        <x:f>IFERROR(IF(VLOOKUP(D82,Giocatori!$A$4:$C$73,2,FALSE)&lt;&gt;"",VLOOKUP(D82,Giocatori!$A$4:$C$73,2,FALSE),"Giocatore "&amp;D82),"Giocatore "&amp;D82)</x:f>
        <x:v>Giocatore 68</x:v>
      </x:c>
      <x:c r="F82" s="63" t="str"/>
      <x:c r="G82" s="63" t="str"/>
      <x:c r="H82" s="63" t="n">
        <x:v>0</x:v>
      </x:c>
      <x:c r="I82" s="72" t="str">
        <x:f>IF(OR(G82="",G82&lt;1,G82&gt;5),"",CHOOSE(G82,9,6,4,2,1)+2*IF(H82="",0,H82))</x:f>
      </x:c>
      <x:c r="J82" s="63" t="str"/>
    </x:row>
    <x:row r="83">
      <x:c r="A83" s="72" t="n">
        <x:v>2</x:v>
      </x:c>
      <x:c r="B83" s="72" t="str">
        <x:v>B</x:v>
      </x:c>
      <x:c r="C83" s="72" t="n">
        <x:v>4</x:v>
      </x:c>
      <x:c r="D83" s="72" t="n">
        <x:v>64</x:v>
      </x:c>
      <x:c r="E83" s="72" t="str">
        <x:f>IFERROR(IF(VLOOKUP(D83,Giocatori!$A$4:$C$73,2,FALSE)&lt;&gt;"",VLOOKUP(D83,Giocatori!$A$4:$C$73,2,FALSE),"Giocatore "&amp;D83),"Giocatore "&amp;D83)</x:f>
        <x:v>Tufano Michele 2</x:v>
      </x:c>
      <x:c r="F83" s="63" t="str"/>
      <x:c r="G83" s="63" t="str"/>
      <x:c r="H83" s="63" t="n">
        <x:v>0</x:v>
      </x:c>
      <x:c r="I83" s="72" t="str">
        <x:f>IF(OR(G83="",G83&lt;1,G83&gt;5),"",CHOOSE(G83,9,6,4,2,1)+2*IF(H83="",0,H83))</x:f>
      </x:c>
      <x:c r="J83" s="63" t="str"/>
    </x:row>
    <x:row r="84">
      <x:c r="A84" s="72" t="n">
        <x:v>2</x:v>
      </x:c>
      <x:c r="B84" s="72" t="str">
        <x:v>B</x:v>
      </x:c>
      <x:c r="C84" s="72" t="n">
        <x:v>5</x:v>
      </x:c>
      <x:c r="D84" s="72" t="n">
        <x:v>60</x:v>
      </x:c>
      <x:c r="E84" s="72" t="str">
        <x:f>IFERROR(IF(VLOOKUP(D84,Giocatori!$A$4:$C$73,2,FALSE)&lt;&gt;"",VLOOKUP(D84,Giocatori!$A$4:$C$73,2,FALSE),"Giocatore "&amp;D84),"Giocatore "&amp;D84)</x:f>
        <x:v>Di Grazia Salvatore</x:v>
      </x:c>
      <x:c r="F84" s="63" t="str"/>
      <x:c r="G84" s="63" t="str"/>
      <x:c r="H84" s="63" t="n">
        <x:v>0</x:v>
      </x:c>
      <x:c r="I84" s="72" t="str">
        <x:f>IF(OR(G84="",G84&lt;1,G84&gt;5),"",CHOOSE(G84,9,6,4,2,1)+2*IF(H84="",0,H84))</x:f>
      </x:c>
      <x:c r="J84" s="63" t="str"/>
    </x:row>
    <x:row r="85">
      <x:c r="A85" s="72" t="n">
        <x:v>2</x:v>
      </x:c>
      <x:c r="B85" s="72" t="str">
        <x:v>C</x:v>
      </x:c>
      <x:c r="C85" s="72" t="n">
        <x:v>1</x:v>
      </x:c>
      <x:c r="D85" s="72" t="n">
        <x:v>11</x:v>
      </x:c>
      <x:c r="E85" s="72" t="str">
        <x:f>IFERROR(IF(VLOOKUP(D85,Giocatori!$A$4:$C$73,2,FALSE)&lt;&gt;"",VLOOKUP(D85,Giocatori!$A$4:$C$73,2,FALSE),"Giocatore "&amp;D85),"Giocatore "&amp;D85)</x:f>
        <x:v>Notaro Giacomo</x:v>
      </x:c>
      <x:c r="F85" s="63" t="str"/>
      <x:c r="G85" s="63" t="str"/>
      <x:c r="H85" s="63" t="n">
        <x:v>0</x:v>
      </x:c>
      <x:c r="I85" s="72" t="str">
        <x:f>IF(OR(G85="",G85&lt;1,G85&gt;5),"",CHOOSE(G85,9,6,4,2,1)+2*IF(H85="",0,H85))</x:f>
      </x:c>
      <x:c r="J85" s="63" t="str"/>
    </x:row>
    <x:row r="86">
      <x:c r="A86" s="72" t="n">
        <x:v>2</x:v>
      </x:c>
      <x:c r="B86" s="72" t="str">
        <x:v>C</x:v>
      </x:c>
      <x:c r="C86" s="72" t="n">
        <x:v>2</x:v>
      </x:c>
      <x:c r="D86" s="72" t="n">
        <x:v>7</x:v>
      </x:c>
      <x:c r="E86" s="72" t="str">
        <x:f>IFERROR(IF(VLOOKUP(D86,Giocatori!$A$4:$C$73,2,FALSE)&lt;&gt;"",VLOOKUP(D86,Giocatori!$A$4:$C$73,2,FALSE),"Giocatore "&amp;D86),"Giocatore "&amp;D86)</x:f>
        <x:v>Ambrosino Michele</x:v>
      </x:c>
      <x:c r="F86" s="63" t="str"/>
      <x:c r="G86" s="63" t="str"/>
      <x:c r="H86" s="63" t="n">
        <x:v>0</x:v>
      </x:c>
      <x:c r="I86" s="72" t="str">
        <x:f>IF(OR(G86="",G86&lt;1,G86&gt;5),"",CHOOSE(G86,9,6,4,2,1)+2*IF(H86="",0,H86))</x:f>
      </x:c>
      <x:c r="J86" s="63" t="str"/>
    </x:row>
    <x:row r="87">
      <x:c r="A87" s="72" t="n">
        <x:v>2</x:v>
      </x:c>
      <x:c r="B87" s="72" t="str">
        <x:v>C</x:v>
      </x:c>
      <x:c r="C87" s="72" t="n">
        <x:v>3</x:v>
      </x:c>
      <x:c r="D87" s="72" t="n">
        <x:v>3</x:v>
      </x:c>
      <x:c r="E87" s="72" t="str">
        <x:f>IFERROR(IF(VLOOKUP(D87,Giocatori!$A$4:$C$73,2,FALSE)&lt;&gt;"",VLOOKUP(D87,Giocatori!$A$4:$C$73,2,FALSE),"Giocatore "&amp;D87),"Giocatore "&amp;D87)</x:f>
        <x:v>Sommese Antonio</x:v>
      </x:c>
      <x:c r="F87" s="63" t="str"/>
      <x:c r="G87" s="63" t="str"/>
      <x:c r="H87" s="63" t="n">
        <x:v>0</x:v>
      </x:c>
      <x:c r="I87" s="72" t="str">
        <x:f>IF(OR(G87="",G87&lt;1,G87&gt;5),"",CHOOSE(G87,9,6,4,2,1)+2*IF(H87="",0,H87))</x:f>
      </x:c>
      <x:c r="J87" s="63" t="str"/>
    </x:row>
    <x:row r="88">
      <x:c r="A88" s="72" t="n">
        <x:v>2</x:v>
      </x:c>
      <x:c r="B88" s="72" t="str">
        <x:v>C</x:v>
      </x:c>
      <x:c r="C88" s="72" t="n">
        <x:v>4</x:v>
      </x:c>
      <x:c r="D88" s="72" t="n">
        <x:v>69</x:v>
      </x:c>
      <x:c r="E88" s="72" t="str">
        <x:f>IFERROR(IF(VLOOKUP(D88,Giocatori!$A$4:$C$73,2,FALSE)&lt;&gt;"",VLOOKUP(D88,Giocatori!$A$4:$C$73,2,FALSE),"Giocatore "&amp;D88),"Giocatore "&amp;D88)</x:f>
        <x:v>Giocatore 69</x:v>
      </x:c>
      <x:c r="F88" s="63" t="str"/>
      <x:c r="G88" s="63" t="str"/>
      <x:c r="H88" s="63" t="n">
        <x:v>0</x:v>
      </x:c>
      <x:c r="I88" s="72" t="str">
        <x:f>IF(OR(G88="",G88&lt;1,G88&gt;5),"",CHOOSE(G88,9,6,4,2,1)+2*IF(H88="",0,H88))</x:f>
      </x:c>
      <x:c r="J88" s="63" t="str"/>
    </x:row>
    <x:row r="89">
      <x:c r="A89" s="72" t="n">
        <x:v>2</x:v>
      </x:c>
      <x:c r="B89" s="72" t="str">
        <x:v>C</x:v>
      </x:c>
      <x:c r="C89" s="72" t="n">
        <x:v>5</x:v>
      </x:c>
      <x:c r="D89" s="72" t="n">
        <x:v>65</x:v>
      </x:c>
      <x:c r="E89" s="72" t="str">
        <x:f>IFERROR(IF(VLOOKUP(D89,Giocatori!$A$4:$C$73,2,FALSE)&lt;&gt;"",VLOOKUP(D89,Giocatori!$A$4:$C$73,2,FALSE),"Giocatore "&amp;D89),"Giocatore "&amp;D89)</x:f>
        <x:v>Tufano Michele 3</x:v>
      </x:c>
      <x:c r="F89" s="63" t="str"/>
      <x:c r="G89" s="63" t="str"/>
      <x:c r="H89" s="63" t="n">
        <x:v>0</x:v>
      </x:c>
      <x:c r="I89" s="72" t="str">
        <x:f>IF(OR(G89="",G89&lt;1,G89&gt;5),"",CHOOSE(G89,9,6,4,2,1)+2*IF(H89="",0,H89))</x:f>
      </x:c>
      <x:c r="J89" s="63" t="str"/>
    </x:row>
    <x:row r="90">
      <x:c r="A90" s="72" t="n">
        <x:v>2</x:v>
      </x:c>
      <x:c r="B90" s="72" t="str">
        <x:v>D</x:v>
      </x:c>
      <x:c r="C90" s="72" t="n">
        <x:v>1</x:v>
      </x:c>
      <x:c r="D90" s="72" t="n">
        <x:v>16</x:v>
      </x:c>
      <x:c r="E90" s="72" t="str">
        <x:f>IFERROR(IF(VLOOKUP(D90,Giocatori!$A$4:$C$73,2,FALSE)&lt;&gt;"",VLOOKUP(D90,Giocatori!$A$4:$C$73,2,FALSE),"Giocatore "&amp;D90),"Giocatore "&amp;D90)</x:f>
        <x:v>Beracci Benedetto</x:v>
      </x:c>
      <x:c r="F90" s="63" t="str"/>
      <x:c r="G90" s="63" t="str"/>
      <x:c r="H90" s="63" t="n">
        <x:v>0</x:v>
      </x:c>
      <x:c r="I90" s="72" t="str">
        <x:f>IF(OR(G90="",G90&lt;1,G90&gt;5),"",CHOOSE(G90,9,6,4,2,1)+2*IF(H90="",0,H90))</x:f>
      </x:c>
      <x:c r="J90" s="63" t="str"/>
    </x:row>
    <x:row r="91">
      <x:c r="A91" s="72" t="n">
        <x:v>2</x:v>
      </x:c>
      <x:c r="B91" s="72" t="str">
        <x:v>D</x:v>
      </x:c>
      <x:c r="C91" s="72" t="n">
        <x:v>2</x:v>
      </x:c>
      <x:c r="D91" s="72" t="n">
        <x:v>12</x:v>
      </x:c>
      <x:c r="E91" s="72" t="str">
        <x:f>IFERROR(IF(VLOOKUP(D91,Giocatori!$A$4:$C$73,2,FALSE)&lt;&gt;"",VLOOKUP(D91,Giocatori!$A$4:$C$73,2,FALSE),"Giocatore "&amp;D91),"Giocatore "&amp;D91)</x:f>
        <x:v>Scognamiglio Alfredo</x:v>
      </x:c>
      <x:c r="F91" s="63" t="str"/>
      <x:c r="G91" s="63" t="str"/>
      <x:c r="H91" s="63" t="n">
        <x:v>0</x:v>
      </x:c>
      <x:c r="I91" s="72" t="str">
        <x:f>IF(OR(G91="",G91&lt;1,G91&gt;5),"",CHOOSE(G91,9,6,4,2,1)+2*IF(H91="",0,H91))</x:f>
      </x:c>
      <x:c r="J91" s="63" t="str"/>
    </x:row>
    <x:row r="92">
      <x:c r="A92" s="72" t="n">
        <x:v>2</x:v>
      </x:c>
      <x:c r="B92" s="72" t="str">
        <x:v>D</x:v>
      </x:c>
      <x:c r="C92" s="72" t="n">
        <x:v>3</x:v>
      </x:c>
      <x:c r="D92" s="72" t="n">
        <x:v>8</x:v>
      </x:c>
      <x:c r="E92" s="72" t="str">
        <x:f>IFERROR(IF(VLOOKUP(D92,Giocatori!$A$4:$C$73,2,FALSE)&lt;&gt;"",VLOOKUP(D92,Giocatori!$A$4:$C$73,2,FALSE),"Giocatore "&amp;D92),"Giocatore "&amp;D92)</x:f>
        <x:v>Ambrosino Raffaele</x:v>
      </x:c>
      <x:c r="F92" s="63" t="str"/>
      <x:c r="G92" s="63" t="str"/>
      <x:c r="H92" s="63" t="n">
        <x:v>0</x:v>
      </x:c>
      <x:c r="I92" s="72" t="str">
        <x:f>IF(OR(G92="",G92&lt;1,G92&gt;5),"",CHOOSE(G92,9,6,4,2,1)+2*IF(H92="",0,H92))</x:f>
      </x:c>
      <x:c r="J92" s="63" t="str"/>
    </x:row>
    <x:row r="93">
      <x:c r="A93" s="72" t="n">
        <x:v>2</x:v>
      </x:c>
      <x:c r="B93" s="72" t="str">
        <x:v>D</x:v>
      </x:c>
      <x:c r="C93" s="72" t="n">
        <x:v>4</x:v>
      </x:c>
      <x:c r="D93" s="72" t="n">
        <x:v>4</x:v>
      </x:c>
      <x:c r="E93" s="72" t="str">
        <x:f>IFERROR(IF(VLOOKUP(D93,Giocatori!$A$4:$C$73,2,FALSE)&lt;&gt;"",VLOOKUP(D93,Giocatori!$A$4:$C$73,2,FALSE),"Giocatore "&amp;D93),"Giocatore "&amp;D93)</x:f>
        <x:v>Annunziata Raffaele</x:v>
      </x:c>
      <x:c r="F93" s="63" t="str"/>
      <x:c r="G93" s="63" t="str"/>
      <x:c r="H93" s="63" t="n">
        <x:v>0</x:v>
      </x:c>
      <x:c r="I93" s="72" t="str">
        <x:f>IF(OR(G93="",G93&lt;1,G93&gt;5),"",CHOOSE(G93,9,6,4,2,1)+2*IF(H93="",0,H93))</x:f>
      </x:c>
      <x:c r="J93" s="63" t="str"/>
    </x:row>
    <x:row r="94">
      <x:c r="A94" s="72" t="n">
        <x:v>2</x:v>
      </x:c>
      <x:c r="B94" s="72" t="str">
        <x:v>D</x:v>
      </x:c>
      <x:c r="C94" s="72" t="n">
        <x:v>5</x:v>
      </x:c>
      <x:c r="D94" s="72" t="n">
        <x:v>70</x:v>
      </x:c>
      <x:c r="E94" s="72" t="str">
        <x:f>IFERROR(IF(VLOOKUP(D94,Giocatori!$A$4:$C$73,2,FALSE)&lt;&gt;"",VLOOKUP(D94,Giocatori!$A$4:$C$73,2,FALSE),"Giocatore "&amp;D94),"Giocatore "&amp;D94)</x:f>
        <x:v>Giocatore 70</x:v>
      </x:c>
      <x:c r="F94" s="63" t="str"/>
      <x:c r="G94" s="63" t="str"/>
      <x:c r="H94" s="63" t="n">
        <x:v>0</x:v>
      </x:c>
      <x:c r="I94" s="72" t="str">
        <x:f>IF(OR(G94="",G94&lt;1,G94&gt;5),"",CHOOSE(G94,9,6,4,2,1)+2*IF(H94="",0,H94))</x:f>
      </x:c>
      <x:c r="J94" s="63" t="str"/>
    </x:row>
    <x:row r="95">
      <x:c r="A95" s="72" t="n">
        <x:v>2</x:v>
      </x:c>
      <x:c r="B95" s="72" t="str">
        <x:v>E</x:v>
      </x:c>
      <x:c r="C95" s="72" t="n">
        <x:v>1</x:v>
      </x:c>
      <x:c r="D95" s="72" t="n">
        <x:v>21</x:v>
      </x:c>
      <x:c r="E95" s="72" t="str">
        <x:f>IFERROR(IF(VLOOKUP(D95,Giocatori!$A$4:$C$73,2,FALSE)&lt;&gt;"",VLOOKUP(D95,Giocatori!$A$4:$C$73,2,FALSE),"Giocatore "&amp;D95),"Giocatore "&amp;D95)</x:f>
        <x:v>Tufano Raffaele</x:v>
      </x:c>
      <x:c r="F95" s="63" t="str"/>
      <x:c r="G95" s="63" t="str"/>
      <x:c r="H95" s="63" t="n">
        <x:v>0</x:v>
      </x:c>
      <x:c r="I95" s="72" t="str">
        <x:f>IF(OR(G95="",G95&lt;1,G95&gt;5),"",CHOOSE(G95,9,6,4,2,1)+2*IF(H95="",0,H95))</x:f>
      </x:c>
      <x:c r="J95" s="63" t="str"/>
    </x:row>
    <x:row r="96">
      <x:c r="A96" s="72" t="n">
        <x:v>2</x:v>
      </x:c>
      <x:c r="B96" s="72" t="str">
        <x:v>E</x:v>
      </x:c>
      <x:c r="C96" s="72" t="n">
        <x:v>2</x:v>
      </x:c>
      <x:c r="D96" s="72" t="n">
        <x:v>17</x:v>
      </x:c>
      <x:c r="E96" s="72" t="str">
        <x:f>IFERROR(IF(VLOOKUP(D96,Giocatori!$A$4:$C$73,2,FALSE)&lt;&gt;"",VLOOKUP(D96,Giocatori!$A$4:$C$73,2,FALSE),"Giocatore "&amp;D96),"Giocatore "&amp;D96)</x:f>
        <x:v>Tufano Giovanni</x:v>
      </x:c>
      <x:c r="F96" s="63" t="str"/>
      <x:c r="G96" s="63" t="str"/>
      <x:c r="H96" s="63" t="n">
        <x:v>0</x:v>
      </x:c>
      <x:c r="I96" s="72" t="str">
        <x:f>IF(OR(G96="",G96&lt;1,G96&gt;5),"",CHOOSE(G96,9,6,4,2,1)+2*IF(H96="",0,H96))</x:f>
      </x:c>
      <x:c r="J96" s="63" t="str"/>
    </x:row>
    <x:row r="97">
      <x:c r="A97" s="72" t="n">
        <x:v>2</x:v>
      </x:c>
      <x:c r="B97" s="72" t="str">
        <x:v>E</x:v>
      </x:c>
      <x:c r="C97" s="72" t="n">
        <x:v>3</x:v>
      </x:c>
      <x:c r="D97" s="72" t="n">
        <x:v>13</x:v>
      </x:c>
      <x:c r="E97" s="72" t="str">
        <x:f>IFERROR(IF(VLOOKUP(D97,Giocatori!$A$4:$C$73,2,FALSE)&lt;&gt;"",VLOOKUP(D97,Giocatori!$A$4:$C$73,2,FALSE),"Giocatore "&amp;D97),"Giocatore "&amp;D97)</x:f>
        <x:v>Del Vecchio Diego</x:v>
      </x:c>
      <x:c r="F97" s="63" t="str"/>
      <x:c r="G97" s="63" t="str"/>
      <x:c r="H97" s="63" t="n">
        <x:v>0</x:v>
      </x:c>
      <x:c r="I97" s="72" t="str">
        <x:f>IF(OR(G97="",G97&lt;1,G97&gt;5),"",CHOOSE(G97,9,6,4,2,1)+2*IF(H97="",0,H97))</x:f>
      </x:c>
      <x:c r="J97" s="63" t="str"/>
    </x:row>
    <x:row r="98">
      <x:c r="A98" s="72" t="n">
        <x:v>2</x:v>
      </x:c>
      <x:c r="B98" s="72" t="str">
        <x:v>E</x:v>
      </x:c>
      <x:c r="C98" s="72" t="n">
        <x:v>4</x:v>
      </x:c>
      <x:c r="D98" s="72" t="n">
        <x:v>9</x:v>
      </x:c>
      <x:c r="E98" s="72" t="str">
        <x:f>IFERROR(IF(VLOOKUP(D98,Giocatori!$A$4:$C$73,2,FALSE)&lt;&gt;"",VLOOKUP(D98,Giocatori!$A$4:$C$73,2,FALSE),"Giocatore "&amp;D98),"Giocatore "&amp;D98)</x:f>
        <x:v>Nappo Angelo</x:v>
      </x:c>
      <x:c r="F98" s="63" t="str"/>
      <x:c r="G98" s="63" t="str"/>
      <x:c r="H98" s="63" t="n">
        <x:v>0</x:v>
      </x:c>
      <x:c r="I98" s="72" t="str">
        <x:f>IF(OR(G98="",G98&lt;1,G98&gt;5),"",CHOOSE(G98,9,6,4,2,1)+2*IF(H98="",0,H98))</x:f>
      </x:c>
      <x:c r="J98" s="63" t="str"/>
    </x:row>
    <x:row r="99">
      <x:c r="A99" s="72" t="n">
        <x:v>2</x:v>
      </x:c>
      <x:c r="B99" s="72" t="str">
        <x:v>E</x:v>
      </x:c>
      <x:c r="C99" s="72" t="n">
        <x:v>5</x:v>
      </x:c>
      <x:c r="D99" s="72" t="n">
        <x:v>5</x:v>
      </x:c>
      <x:c r="E99" s="72" t="str">
        <x:f>IFERROR(IF(VLOOKUP(D99,Giocatori!$A$4:$C$73,2,FALSE)&lt;&gt;"",VLOOKUP(D99,Giocatori!$A$4:$C$73,2,FALSE),"Giocatore "&amp;D99),"Giocatore "&amp;D99)</x:f>
        <x:v>La Marca Pasquale</x:v>
      </x:c>
      <x:c r="F99" s="63" t="str"/>
      <x:c r="G99" s="63" t="str"/>
      <x:c r="H99" s="63" t="n">
        <x:v>0</x:v>
      </x:c>
      <x:c r="I99" s="72" t="str">
        <x:f>IF(OR(G99="",G99&lt;1,G99&gt;5),"",CHOOSE(G99,9,6,4,2,1)+2*IF(H99="",0,H99))</x:f>
      </x:c>
      <x:c r="J99" s="63" t="str"/>
    </x:row>
    <x:row r="100">
      <x:c r="A100" s="72" t="n">
        <x:v>2</x:v>
      </x:c>
      <x:c r="B100" s="72" t="str">
        <x:v>F</x:v>
      </x:c>
      <x:c r="C100" s="72" t="n">
        <x:v>1</x:v>
      </x:c>
      <x:c r="D100" s="72" t="n">
        <x:v>26</x:v>
      </x:c>
      <x:c r="E100" s="72" t="str">
        <x:f>IFERROR(IF(VLOOKUP(D100,Giocatori!$A$4:$C$73,2,FALSE)&lt;&gt;"",VLOOKUP(D100,Giocatori!$A$4:$C$73,2,FALSE),"Giocatore "&amp;D100),"Giocatore "&amp;D100)</x:f>
        <x:v>Gesso Marco</x:v>
      </x:c>
      <x:c r="F100" s="63" t="str"/>
      <x:c r="G100" s="63" t="str"/>
      <x:c r="H100" s="63" t="n">
        <x:v>0</x:v>
      </x:c>
      <x:c r="I100" s="72" t="str">
        <x:f>IF(OR(G100="",G100&lt;1,G100&gt;5),"",CHOOSE(G100,9,6,4,2,1)+2*IF(H100="",0,H100))</x:f>
      </x:c>
      <x:c r="J100" s="63" t="str"/>
    </x:row>
    <x:row r="101">
      <x:c r="A101" s="72" t="n">
        <x:v>2</x:v>
      </x:c>
      <x:c r="B101" s="72" t="str">
        <x:v>F</x:v>
      </x:c>
      <x:c r="C101" s="72" t="n">
        <x:v>2</x:v>
      </x:c>
      <x:c r="D101" s="72" t="n">
        <x:v>22</x:v>
      </x:c>
      <x:c r="E101" s="72" t="str">
        <x:f>IFERROR(IF(VLOOKUP(D101,Giocatori!$A$4:$C$73,2,FALSE)&lt;&gt;"",VLOOKUP(D101,Giocatori!$A$4:$C$73,2,FALSE),"Giocatore "&amp;D101),"Giocatore "&amp;D101)</x:f>
        <x:v>Napolitano Antonio</x:v>
      </x:c>
      <x:c r="F101" s="63" t="str"/>
      <x:c r="G101" s="63" t="str"/>
      <x:c r="H101" s="63" t="n">
        <x:v>0</x:v>
      </x:c>
      <x:c r="I101" s="72" t="str">
        <x:f>IF(OR(G101="",G101&lt;1,G101&gt;5),"",CHOOSE(G101,9,6,4,2,1)+2*IF(H101="",0,H101))</x:f>
      </x:c>
      <x:c r="J101" s="63" t="str"/>
    </x:row>
    <x:row r="102">
      <x:c r="A102" s="72" t="n">
        <x:v>2</x:v>
      </x:c>
      <x:c r="B102" s="72" t="str">
        <x:v>F</x:v>
      </x:c>
      <x:c r="C102" s="72" t="n">
        <x:v>3</x:v>
      </x:c>
      <x:c r="D102" s="72" t="n">
        <x:v>18</x:v>
      </x:c>
      <x:c r="E102" s="72" t="str">
        <x:f>IFERROR(IF(VLOOKUP(D102,Giocatori!$A$4:$C$73,2,FALSE)&lt;&gt;"",VLOOKUP(D102,Giocatori!$A$4:$C$73,2,FALSE),"Giocatore "&amp;D102),"Giocatore "&amp;D102)</x:f>
        <x:v>Ambrosino Gabriele</x:v>
      </x:c>
      <x:c r="F102" s="63" t="str"/>
      <x:c r="G102" s="63" t="str"/>
      <x:c r="H102" s="63" t="n">
        <x:v>0</x:v>
      </x:c>
      <x:c r="I102" s="72" t="str">
        <x:f>IF(OR(G102="",G102&lt;1,G102&gt;5),"",CHOOSE(G102,9,6,4,2,1)+2*IF(H102="",0,H102))</x:f>
      </x:c>
      <x:c r="J102" s="63" t="str"/>
    </x:row>
    <x:row r="103">
      <x:c r="A103" s="72" t="n">
        <x:v>2</x:v>
      </x:c>
      <x:c r="B103" s="72" t="str">
        <x:v>F</x:v>
      </x:c>
      <x:c r="C103" s="72" t="n">
        <x:v>4</x:v>
      </x:c>
      <x:c r="D103" s="72" t="n">
        <x:v>14</x:v>
      </x:c>
      <x:c r="E103" s="72" t="str">
        <x:f>IFERROR(IF(VLOOKUP(D103,Giocatori!$A$4:$C$73,2,FALSE)&lt;&gt;"",VLOOKUP(D103,Giocatori!$A$4:$C$73,2,FALSE),"Giocatore "&amp;D103),"Giocatore "&amp;D103)</x:f>
        <x:v>Beracci Lucio</x:v>
      </x:c>
      <x:c r="F103" s="63" t="str"/>
      <x:c r="G103" s="63" t="str"/>
      <x:c r="H103" s="63" t="n">
        <x:v>0</x:v>
      </x:c>
      <x:c r="I103" s="72" t="str">
        <x:f>IF(OR(G103="",G103&lt;1,G103&gt;5),"",CHOOSE(G103,9,6,4,2,1)+2*IF(H103="",0,H103))</x:f>
      </x:c>
      <x:c r="J103" s="63" t="str"/>
    </x:row>
    <x:row r="104">
      <x:c r="A104" s="72" t="n">
        <x:v>2</x:v>
      </x:c>
      <x:c r="B104" s="72" t="str">
        <x:v>F</x:v>
      </x:c>
      <x:c r="C104" s="72" t="n">
        <x:v>5</x:v>
      </x:c>
      <x:c r="D104" s="72" t="n">
        <x:v>10</x:v>
      </x:c>
      <x:c r="E104" s="72" t="str">
        <x:f>IFERROR(IF(VLOOKUP(D104,Giocatori!$A$4:$C$73,2,FALSE)&lt;&gt;"",VLOOKUP(D104,Giocatori!$A$4:$C$73,2,FALSE),"Giocatore "&amp;D104),"Giocatore "&amp;D104)</x:f>
        <x:v>Cavallaro Erasmo</x:v>
      </x:c>
      <x:c r="F104" s="63" t="str"/>
      <x:c r="G104" s="63" t="str"/>
      <x:c r="H104" s="63" t="n">
        <x:v>0</x:v>
      </x:c>
      <x:c r="I104" s="72" t="str">
        <x:f>IF(OR(G104="",G104&lt;1,G104&gt;5),"",CHOOSE(G104,9,6,4,2,1)+2*IF(H104="",0,H104))</x:f>
      </x:c>
      <x:c r="J104" s="63" t="str"/>
    </x:row>
    <x:row r="105">
      <x:c r="A105" s="72" t="n">
        <x:v>2</x:v>
      </x:c>
      <x:c r="B105" s="72" t="str">
        <x:v>G</x:v>
      </x:c>
      <x:c r="C105" s="72" t="n">
        <x:v>1</x:v>
      </x:c>
      <x:c r="D105" s="72" t="n">
        <x:v>31</x:v>
      </x:c>
      <x:c r="E105" s="72" t="str">
        <x:f>IFERROR(IF(VLOOKUP(D105,Giocatori!$A$4:$C$73,2,FALSE)&lt;&gt;"",VLOOKUP(D105,Giocatori!$A$4:$C$73,2,FALSE),"Giocatore "&amp;D105),"Giocatore "&amp;D105)</x:f>
        <x:v>Polacco Tommaso</x:v>
      </x:c>
      <x:c r="F105" s="63" t="str"/>
      <x:c r="G105" s="63" t="str"/>
      <x:c r="H105" s="63" t="n">
        <x:v>0</x:v>
      </x:c>
      <x:c r="I105" s="72" t="str">
        <x:f>IF(OR(G105="",G105&lt;1,G105&gt;5),"",CHOOSE(G105,9,6,4,2,1)+2*IF(H105="",0,H105))</x:f>
      </x:c>
      <x:c r="J105" s="63" t="str"/>
    </x:row>
    <x:row r="106">
      <x:c r="A106" s="72" t="n">
        <x:v>2</x:v>
      </x:c>
      <x:c r="B106" s="72" t="str">
        <x:v>G</x:v>
      </x:c>
      <x:c r="C106" s="72" t="n">
        <x:v>2</x:v>
      </x:c>
      <x:c r="D106" s="72" t="n">
        <x:v>27</x:v>
      </x:c>
      <x:c r="E106" s="72" t="str">
        <x:f>IFERROR(IF(VLOOKUP(D106,Giocatori!$A$4:$C$73,2,FALSE)&lt;&gt;"",VLOOKUP(D106,Giocatori!$A$4:$C$73,2,FALSE),"Giocatore "&amp;D106),"Giocatore "&amp;D106)</x:f>
        <x:v>Napolitano Angelo</x:v>
      </x:c>
      <x:c r="F106" s="63" t="str"/>
      <x:c r="G106" s="63" t="str"/>
      <x:c r="H106" s="63" t="n">
        <x:v>0</x:v>
      </x:c>
      <x:c r="I106" s="72" t="str">
        <x:f>IF(OR(G106="",G106&lt;1,G106&gt;5),"",CHOOSE(G106,9,6,4,2,1)+2*IF(H106="",0,H106))</x:f>
      </x:c>
      <x:c r="J106" s="63" t="str"/>
    </x:row>
    <x:row r="107">
      <x:c r="A107" s="72" t="n">
        <x:v>2</x:v>
      </x:c>
      <x:c r="B107" s="72" t="str">
        <x:v>G</x:v>
      </x:c>
      <x:c r="C107" s="72" t="n">
        <x:v>3</x:v>
      </x:c>
      <x:c r="D107" s="72" t="n">
        <x:v>23</x:v>
      </x:c>
      <x:c r="E107" s="72" t="str">
        <x:f>IFERROR(IF(VLOOKUP(D107,Giocatori!$A$4:$C$73,2,FALSE)&lt;&gt;"",VLOOKUP(D107,Giocatori!$A$4:$C$73,2,FALSE),"Giocatore "&amp;D107),"Giocatore "&amp;D107)</x:f>
        <x:v>Notaro Massimo</x:v>
      </x:c>
      <x:c r="F107" s="63" t="str"/>
      <x:c r="G107" s="63" t="str"/>
      <x:c r="H107" s="63" t="n">
        <x:v>0</x:v>
      </x:c>
      <x:c r="I107" s="72" t="str">
        <x:f>IF(OR(G107="",G107&lt;1,G107&gt;5),"",CHOOSE(G107,9,6,4,2,1)+2*IF(H107="",0,H107))</x:f>
      </x:c>
      <x:c r="J107" s="63" t="str"/>
    </x:row>
    <x:row r="108">
      <x:c r="A108" s="72" t="n">
        <x:v>2</x:v>
      </x:c>
      <x:c r="B108" s="72" t="str">
        <x:v>G</x:v>
      </x:c>
      <x:c r="C108" s="72" t="n">
        <x:v>4</x:v>
      </x:c>
      <x:c r="D108" s="72" t="n">
        <x:v>19</x:v>
      </x:c>
      <x:c r="E108" s="72" t="str">
        <x:f>IFERROR(IF(VLOOKUP(D108,Giocatori!$A$4:$C$73,2,FALSE)&lt;&gt;"",VLOOKUP(D108,Giocatori!$A$4:$C$73,2,FALSE),"Giocatore "&amp;D108),"Giocatore "&amp;D108)</x:f>
        <x:v>Strocchia Franco</x:v>
      </x:c>
      <x:c r="F108" s="63" t="str"/>
      <x:c r="G108" s="63" t="str"/>
      <x:c r="H108" s="63" t="n">
        <x:v>0</x:v>
      </x:c>
      <x:c r="I108" s="72" t="str">
        <x:f>IF(OR(G108="",G108&lt;1,G108&gt;5),"",CHOOSE(G108,9,6,4,2,1)+2*IF(H108="",0,H108))</x:f>
      </x:c>
      <x:c r="J108" s="63" t="str"/>
    </x:row>
    <x:row r="109">
      <x:c r="A109" s="72" t="n">
        <x:v>2</x:v>
      </x:c>
      <x:c r="B109" s="72" t="str">
        <x:v>G</x:v>
      </x:c>
      <x:c r="C109" s="72" t="n">
        <x:v>5</x:v>
      </x:c>
      <x:c r="D109" s="72" t="n">
        <x:v>15</x:v>
      </x:c>
      <x:c r="E109" s="72" t="str">
        <x:f>IFERROR(IF(VLOOKUP(D109,Giocatori!$A$4:$C$73,2,FALSE)&lt;&gt;"",VLOOKUP(D109,Giocatori!$A$4:$C$73,2,FALSE),"Giocatore "&amp;D109),"Giocatore "&amp;D109)</x:f>
        <x:v>De Falco Andrea</x:v>
      </x:c>
      <x:c r="F109" s="63" t="str"/>
      <x:c r="G109" s="63" t="str"/>
      <x:c r="H109" s="63" t="n">
        <x:v>0</x:v>
      </x:c>
      <x:c r="I109" s="72" t="str">
        <x:f>IF(OR(G109="",G109&lt;1,G109&gt;5),"",CHOOSE(G109,9,6,4,2,1)+2*IF(H109="",0,H109))</x:f>
      </x:c>
      <x:c r="J109" s="63" t="str"/>
    </x:row>
    <x:row r="110">
      <x:c r="A110" s="72" t="n">
        <x:v>2</x:v>
      </x:c>
      <x:c r="B110" s="72" t="str">
        <x:v>H</x:v>
      </x:c>
      <x:c r="C110" s="72" t="n">
        <x:v>1</x:v>
      </x:c>
      <x:c r="D110" s="72" t="n">
        <x:v>36</x:v>
      </x:c>
      <x:c r="E110" s="72" t="str">
        <x:f>IFERROR(IF(VLOOKUP(D110,Giocatori!$A$4:$C$73,2,FALSE)&lt;&gt;"",VLOOKUP(D110,Giocatori!$A$4:$C$73,2,FALSE),"Giocatore "&amp;D110),"Giocatore "&amp;D110)</x:f>
        <x:v>Moccia Biagio</x:v>
      </x:c>
      <x:c r="F110" s="63" t="str"/>
      <x:c r="G110" s="63" t="str"/>
      <x:c r="H110" s="63" t="n">
        <x:v>0</x:v>
      </x:c>
      <x:c r="I110" s="72" t="str">
        <x:f>IF(OR(G110="",G110&lt;1,G110&gt;5),"",CHOOSE(G110,9,6,4,2,1)+2*IF(H110="",0,H110))</x:f>
      </x:c>
      <x:c r="J110" s="63" t="str"/>
    </x:row>
    <x:row r="111">
      <x:c r="A111" s="72" t="n">
        <x:v>2</x:v>
      </x:c>
      <x:c r="B111" s="72" t="str">
        <x:v>H</x:v>
      </x:c>
      <x:c r="C111" s="72" t="n">
        <x:v>2</x:v>
      </x:c>
      <x:c r="D111" s="72" t="n">
        <x:v>32</x:v>
      </x:c>
      <x:c r="E111" s="72" t="str">
        <x:f>IFERROR(IF(VLOOKUP(D111,Giocatori!$A$4:$C$73,2,FALSE)&lt;&gt;"",VLOOKUP(D111,Giocatori!$A$4:$C$73,2,FALSE),"Giocatore "&amp;D111),"Giocatore "&amp;D111)</x:f>
        <x:v>Marotta Pasquale</x:v>
      </x:c>
      <x:c r="F111" s="63" t="str"/>
      <x:c r="G111" s="63" t="str"/>
      <x:c r="H111" s="63" t="n">
        <x:v>0</x:v>
      </x:c>
      <x:c r="I111" s="72" t="str">
        <x:f>IF(OR(G111="",G111&lt;1,G111&gt;5),"",CHOOSE(G111,9,6,4,2,1)+2*IF(H111="",0,H111))</x:f>
      </x:c>
      <x:c r="J111" s="63" t="str"/>
    </x:row>
    <x:row r="112">
      <x:c r="A112" s="72" t="n">
        <x:v>2</x:v>
      </x:c>
      <x:c r="B112" s="72" t="str">
        <x:v>H</x:v>
      </x:c>
      <x:c r="C112" s="72" t="n">
        <x:v>3</x:v>
      </x:c>
      <x:c r="D112" s="72" t="n">
        <x:v>28</x:v>
      </x:c>
      <x:c r="E112" s="72" t="str">
        <x:f>IFERROR(IF(VLOOKUP(D112,Giocatori!$A$4:$C$73,2,FALSE)&lt;&gt;"",VLOOKUP(D112,Giocatori!$A$4:$C$73,2,FALSE),"Giocatore "&amp;D112),"Giocatore "&amp;D112)</x:f>
        <x:v>Fontanella Carmine</x:v>
      </x:c>
      <x:c r="F112" s="63" t="str"/>
      <x:c r="G112" s="63" t="str"/>
      <x:c r="H112" s="63" t="n">
        <x:v>0</x:v>
      </x:c>
      <x:c r="I112" s="72" t="str">
        <x:f>IF(OR(G112="",G112&lt;1,G112&gt;5),"",CHOOSE(G112,9,6,4,2,1)+2*IF(H112="",0,H112))</x:f>
      </x:c>
      <x:c r="J112" s="63" t="str"/>
    </x:row>
    <x:row r="113">
      <x:c r="A113" s="72" t="n">
        <x:v>2</x:v>
      </x:c>
      <x:c r="B113" s="72" t="str">
        <x:v>H</x:v>
      </x:c>
      <x:c r="C113" s="72" t="n">
        <x:v>4</x:v>
      </x:c>
      <x:c r="D113" s="72" t="n">
        <x:v>24</x:v>
      </x:c>
      <x:c r="E113" s="72" t="str">
        <x:f>IFERROR(IF(VLOOKUP(D113,Giocatori!$A$4:$C$73,2,FALSE)&lt;&gt;"",VLOOKUP(D113,Giocatori!$A$4:$C$73,2,FALSE),"Giocatore "&amp;D113),"Giocatore "&amp;D113)</x:f>
        <x:v>Pierro Giuseppe</x:v>
      </x:c>
      <x:c r="F113" s="63" t="str"/>
      <x:c r="G113" s="63" t="str"/>
      <x:c r="H113" s="63" t="n">
        <x:v>0</x:v>
      </x:c>
      <x:c r="I113" s="72" t="str">
        <x:f>IF(OR(G113="",G113&lt;1,G113&gt;5),"",CHOOSE(G113,9,6,4,2,1)+2*IF(H113="",0,H113))</x:f>
      </x:c>
      <x:c r="J113" s="63" t="str"/>
    </x:row>
    <x:row r="114">
      <x:c r="A114" s="72" t="n">
        <x:v>2</x:v>
      </x:c>
      <x:c r="B114" s="72" t="str">
        <x:v>H</x:v>
      </x:c>
      <x:c r="C114" s="72" t="n">
        <x:v>5</x:v>
      </x:c>
      <x:c r="D114" s="72" t="n">
        <x:v>20</x:v>
      </x:c>
      <x:c r="E114" s="72" t="str">
        <x:f>IFERROR(IF(VLOOKUP(D114,Giocatori!$A$4:$C$73,2,FALSE)&lt;&gt;"",VLOOKUP(D114,Giocatori!$A$4:$C$73,2,FALSE),"Giocatore "&amp;D114),"Giocatore "&amp;D114)</x:f>
        <x:v>Morelli Carmine</x:v>
      </x:c>
      <x:c r="F114" s="63" t="str"/>
      <x:c r="G114" s="63" t="str"/>
      <x:c r="H114" s="63" t="n">
        <x:v>0</x:v>
      </x:c>
      <x:c r="I114" s="72" t="str">
        <x:f>IF(OR(G114="",G114&lt;1,G114&gt;5),"",CHOOSE(G114,9,6,4,2,1)+2*IF(H114="",0,H114))</x:f>
      </x:c>
      <x:c r="J114" s="63" t="str"/>
    </x:row>
    <x:row r="115">
      <x:c r="A115" s="72" t="n">
        <x:v>2</x:v>
      </x:c>
      <x:c r="B115" s="72" t="str">
        <x:v>I</x:v>
      </x:c>
      <x:c r="C115" s="72" t="n">
        <x:v>1</x:v>
      </x:c>
      <x:c r="D115" s="72" t="n">
        <x:v>41</x:v>
      </x:c>
      <x:c r="E115" s="72" t="str">
        <x:f>IFERROR(IF(VLOOKUP(D115,Giocatori!$A$4:$C$73,2,FALSE)&lt;&gt;"",VLOOKUP(D115,Giocatori!$A$4:$C$73,2,FALSE),"Giocatore "&amp;D115),"Giocatore "&amp;D115)</x:f>
        <x:v>Nocerino Nunzio</x:v>
      </x:c>
      <x:c r="F115" s="63" t="str"/>
      <x:c r="G115" s="63" t="str"/>
      <x:c r="H115" s="63" t="n">
        <x:v>0</x:v>
      </x:c>
      <x:c r="I115" s="72" t="str">
        <x:f>IF(OR(G115="",G115&lt;1,G115&gt;5),"",CHOOSE(G115,9,6,4,2,1)+2*IF(H115="",0,H115))</x:f>
      </x:c>
      <x:c r="J115" s="63" t="str"/>
    </x:row>
    <x:row r="116">
      <x:c r="A116" s="72" t="n">
        <x:v>2</x:v>
      </x:c>
      <x:c r="B116" s="72" t="str">
        <x:v>I</x:v>
      </x:c>
      <x:c r="C116" s="72" t="n">
        <x:v>2</x:v>
      </x:c>
      <x:c r="D116" s="72" t="n">
        <x:v>37</x:v>
      </x:c>
      <x:c r="E116" s="72" t="str">
        <x:f>IFERROR(IF(VLOOKUP(D116,Giocatori!$A$4:$C$73,2,FALSE)&lt;&gt;"",VLOOKUP(D116,Giocatori!$A$4:$C$73,2,FALSE),"Giocatore "&amp;D116),"Giocatore "&amp;D116)</x:f>
        <x:v>Spallone Carmine</x:v>
      </x:c>
      <x:c r="F116" s="63" t="str"/>
      <x:c r="G116" s="63" t="str"/>
      <x:c r="H116" s="63" t="n">
        <x:v>0</x:v>
      </x:c>
      <x:c r="I116" s="72" t="str">
        <x:f>IF(OR(G116="",G116&lt;1,G116&gt;5),"",CHOOSE(G116,9,6,4,2,1)+2*IF(H116="",0,H116))</x:f>
      </x:c>
      <x:c r="J116" s="63" t="str"/>
    </x:row>
    <x:row r="117">
      <x:c r="A117" s="72" t="n">
        <x:v>2</x:v>
      </x:c>
      <x:c r="B117" s="72" t="str">
        <x:v>I</x:v>
      </x:c>
      <x:c r="C117" s="72" t="n">
        <x:v>3</x:v>
      </x:c>
      <x:c r="D117" s="72" t="n">
        <x:v>33</x:v>
      </x:c>
      <x:c r="E117" s="72" t="str">
        <x:f>IFERROR(IF(VLOOKUP(D117,Giocatori!$A$4:$C$73,2,FALSE)&lt;&gt;"",VLOOKUP(D117,Giocatori!$A$4:$C$73,2,FALSE),"Giocatore "&amp;D117),"Giocatore "&amp;D117)</x:f>
        <x:v>Franzese Francesco</x:v>
      </x:c>
      <x:c r="F117" s="63" t="str"/>
      <x:c r="G117" s="63" t="str"/>
      <x:c r="H117" s="63" t="n">
        <x:v>0</x:v>
      </x:c>
      <x:c r="I117" s="72" t="str">
        <x:f>IF(OR(G117="",G117&lt;1,G117&gt;5),"",CHOOSE(G117,9,6,4,2,1)+2*IF(H117="",0,H117))</x:f>
      </x:c>
      <x:c r="J117" s="63" t="str"/>
    </x:row>
    <x:row r="118">
      <x:c r="A118" s="72" t="n">
        <x:v>2</x:v>
      </x:c>
      <x:c r="B118" s="72" t="str">
        <x:v>I</x:v>
      </x:c>
      <x:c r="C118" s="72" t="n">
        <x:v>4</x:v>
      </x:c>
      <x:c r="D118" s="72" t="n">
        <x:v>29</x:v>
      </x:c>
      <x:c r="E118" s="72" t="str">
        <x:f>IFERROR(IF(VLOOKUP(D118,Giocatori!$A$4:$C$73,2,FALSE)&lt;&gt;"",VLOOKUP(D118,Giocatori!$A$4:$C$73,2,FALSE),"Giocatore "&amp;D118),"Giocatore "&amp;D118)</x:f>
        <x:v>Nappi Nestore</x:v>
      </x:c>
      <x:c r="F118" s="63" t="str"/>
      <x:c r="G118" s="63" t="str"/>
      <x:c r="H118" s="63" t="n">
        <x:v>0</x:v>
      </x:c>
      <x:c r="I118" s="72" t="str">
        <x:f>IF(OR(G118="",G118&lt;1,G118&gt;5),"",CHOOSE(G118,9,6,4,2,1)+2*IF(H118="",0,H118))</x:f>
      </x:c>
      <x:c r="J118" s="63" t="str"/>
    </x:row>
    <x:row r="119">
      <x:c r="A119" s="72" t="n">
        <x:v>2</x:v>
      </x:c>
      <x:c r="B119" s="72" t="str">
        <x:v>I</x:v>
      </x:c>
      <x:c r="C119" s="72" t="n">
        <x:v>5</x:v>
      </x:c>
      <x:c r="D119" s="72" t="n">
        <x:v>25</x:v>
      </x:c>
      <x:c r="E119" s="72" t="str">
        <x:f>IFERROR(IF(VLOOKUP(D119,Giocatori!$A$4:$C$73,2,FALSE)&lt;&gt;"",VLOOKUP(D119,Giocatori!$A$4:$C$73,2,FALSE),"Giocatore "&amp;D119),"Giocatore "&amp;D119)</x:f>
        <x:v>Giugliano Francesco</x:v>
      </x:c>
      <x:c r="F119" s="63" t="str"/>
      <x:c r="G119" s="63" t="str"/>
      <x:c r="H119" s="63" t="n">
        <x:v>0</x:v>
      </x:c>
      <x:c r="I119" s="72" t="str">
        <x:f>IF(OR(G119="",G119&lt;1,G119&gt;5),"",CHOOSE(G119,9,6,4,2,1)+2*IF(H119="",0,H119))</x:f>
      </x:c>
      <x:c r="J119" s="63" t="str"/>
    </x:row>
    <x:row r="120">
      <x:c r="A120" s="72" t="n">
        <x:v>2</x:v>
      </x:c>
      <x:c r="B120" s="72" t="str">
        <x:v>J</x:v>
      </x:c>
      <x:c r="C120" s="72" t="n">
        <x:v>1</x:v>
      </x:c>
      <x:c r="D120" s="72" t="n">
        <x:v>46</x:v>
      </x:c>
      <x:c r="E120" s="72" t="str">
        <x:f>IFERROR(IF(VLOOKUP(D120,Giocatori!$A$4:$C$73,2,FALSE)&lt;&gt;"",VLOOKUP(D120,Giocatori!$A$4:$C$73,2,FALSE),"Giocatore "&amp;D120),"Giocatore "&amp;D120)</x:f>
        <x:v>Cafarelli Manolo</x:v>
      </x:c>
      <x:c r="F120" s="63" t="str"/>
      <x:c r="G120" s="63" t="str"/>
      <x:c r="H120" s="63" t="n">
        <x:v>0</x:v>
      </x:c>
      <x:c r="I120" s="72" t="str">
        <x:f>IF(OR(G120="",G120&lt;1,G120&gt;5),"",CHOOSE(G120,9,6,4,2,1)+2*IF(H120="",0,H120))</x:f>
      </x:c>
      <x:c r="J120" s="63" t="str"/>
    </x:row>
    <x:row r="121">
      <x:c r="A121" s="72" t="n">
        <x:v>2</x:v>
      </x:c>
      <x:c r="B121" s="72" t="str">
        <x:v>J</x:v>
      </x:c>
      <x:c r="C121" s="72" t="n">
        <x:v>2</x:v>
      </x:c>
      <x:c r="D121" s="72" t="n">
        <x:v>42</x:v>
      </x:c>
      <x:c r="E121" s="72" t="str">
        <x:f>IFERROR(IF(VLOOKUP(D121,Giocatori!$A$4:$C$73,2,FALSE)&lt;&gt;"",VLOOKUP(D121,Giocatori!$A$4:$C$73,2,FALSE),"Giocatore "&amp;D121),"Giocatore "&amp;D121)</x:f>
        <x:v>Guerriero Giuseppe</x:v>
      </x:c>
      <x:c r="F121" s="63" t="str"/>
      <x:c r="G121" s="63" t="str"/>
      <x:c r="H121" s="63" t="n">
        <x:v>0</x:v>
      </x:c>
      <x:c r="I121" s="72" t="str">
        <x:f>IF(OR(G121="",G121&lt;1,G121&gt;5),"",CHOOSE(G121,9,6,4,2,1)+2*IF(H121="",0,H121))</x:f>
      </x:c>
      <x:c r="J121" s="63" t="str"/>
    </x:row>
    <x:row r="122">
      <x:c r="A122" s="72" t="n">
        <x:v>2</x:v>
      </x:c>
      <x:c r="B122" s="72" t="str">
        <x:v>J</x:v>
      </x:c>
      <x:c r="C122" s="72" t="n">
        <x:v>3</x:v>
      </x:c>
      <x:c r="D122" s="72" t="n">
        <x:v>38</x:v>
      </x:c>
      <x:c r="E122" s="72" t="str">
        <x:f>IFERROR(IF(VLOOKUP(D122,Giocatori!$A$4:$C$73,2,FALSE)&lt;&gt;"",VLOOKUP(D122,Giocatori!$A$4:$C$73,2,FALSE),"Giocatore "&amp;D122),"Giocatore "&amp;D122)</x:f>
        <x:v>Mauro Nicola</x:v>
      </x:c>
      <x:c r="F122" s="63" t="str"/>
      <x:c r="G122" s="63" t="str"/>
      <x:c r="H122" s="63" t="n">
        <x:v>0</x:v>
      </x:c>
      <x:c r="I122" s="72" t="str">
        <x:f>IF(OR(G122="",G122&lt;1,G122&gt;5),"",CHOOSE(G122,9,6,4,2,1)+2*IF(H122="",0,H122))</x:f>
      </x:c>
      <x:c r="J122" s="63" t="str"/>
    </x:row>
    <x:row r="123">
      <x:c r="A123" s="72" t="n">
        <x:v>2</x:v>
      </x:c>
      <x:c r="B123" s="72" t="str">
        <x:v>J</x:v>
      </x:c>
      <x:c r="C123" s="72" t="n">
        <x:v>4</x:v>
      </x:c>
      <x:c r="D123" s="72" t="n">
        <x:v>34</x:v>
      </x:c>
      <x:c r="E123" s="72" t="str">
        <x:f>IFERROR(IF(VLOOKUP(D123,Giocatori!$A$4:$C$73,2,FALSE)&lt;&gt;"",VLOOKUP(D123,Giocatori!$A$4:$C$73,2,FALSE),"Giocatore "&amp;D123),"Giocatore "&amp;D123)</x:f>
        <x:v>Fontanella Giuseppe</x:v>
      </x:c>
      <x:c r="F123" s="63" t="str"/>
      <x:c r="G123" s="63" t="str"/>
      <x:c r="H123" s="63" t="n">
        <x:v>0</x:v>
      </x:c>
      <x:c r="I123" s="72" t="str">
        <x:f>IF(OR(G123="",G123&lt;1,G123&gt;5),"",CHOOSE(G123,9,6,4,2,1)+2*IF(H123="",0,H123))</x:f>
      </x:c>
      <x:c r="J123" s="63" t="str"/>
    </x:row>
    <x:row r="124">
      <x:c r="A124" s="72" t="n">
        <x:v>2</x:v>
      </x:c>
      <x:c r="B124" s="72" t="str">
        <x:v>J</x:v>
      </x:c>
      <x:c r="C124" s="72" t="n">
        <x:v>5</x:v>
      </x:c>
      <x:c r="D124" s="72" t="n">
        <x:v>30</x:v>
      </x:c>
      <x:c r="E124" s="72" t="str">
        <x:f>IFERROR(IF(VLOOKUP(D124,Giocatori!$A$4:$C$73,2,FALSE)&lt;&gt;"",VLOOKUP(D124,Giocatori!$A$4:$C$73,2,FALSE),"Giocatore "&amp;D124),"Giocatore "&amp;D124)</x:f>
        <x:v>Tufano Giuseppe</x:v>
      </x:c>
      <x:c r="F124" s="63" t="str"/>
      <x:c r="G124" s="63" t="str"/>
      <x:c r="H124" s="63" t="n">
        <x:v>0</x:v>
      </x:c>
      <x:c r="I124" s="72" t="str">
        <x:f>IF(OR(G124="",G124&lt;1,G124&gt;5),"",CHOOSE(G124,9,6,4,2,1)+2*IF(H124="",0,H124))</x:f>
      </x:c>
      <x:c r="J124" s="63" t="str"/>
    </x:row>
    <x:row r="125">
      <x:c r="A125" s="72" t="n">
        <x:v>2</x:v>
      </x:c>
      <x:c r="B125" s="72" t="str">
        <x:v>K</x:v>
      </x:c>
      <x:c r="C125" s="72" t="n">
        <x:v>1</x:v>
      </x:c>
      <x:c r="D125" s="72" t="n">
        <x:v>51</x:v>
      </x:c>
      <x:c r="E125" s="72" t="str">
        <x:f>IFERROR(IF(VLOOKUP(D125,Giocatori!$A$4:$C$73,2,FALSE)&lt;&gt;"",VLOOKUP(D125,Giocatori!$A$4:$C$73,2,FALSE),"Giocatore "&amp;D125),"Giocatore "&amp;D125)</x:f>
        <x:v>Domenico</x:v>
      </x:c>
      <x:c r="F125" s="63" t="str"/>
      <x:c r="G125" s="63" t="str"/>
      <x:c r="H125" s="63" t="n">
        <x:v>0</x:v>
      </x:c>
      <x:c r="I125" s="72" t="str">
        <x:f>IF(OR(G125="",G125&lt;1,G125&gt;5),"",CHOOSE(G125,9,6,4,2,1)+2*IF(H125="",0,H125))</x:f>
      </x:c>
      <x:c r="J125" s="63" t="str"/>
    </x:row>
    <x:row r="126">
      <x:c r="A126" s="72" t="n">
        <x:v>2</x:v>
      </x:c>
      <x:c r="B126" s="72" t="str">
        <x:v>K</x:v>
      </x:c>
      <x:c r="C126" s="72" t="n">
        <x:v>2</x:v>
      </x:c>
      <x:c r="D126" s="72" t="n">
        <x:v>47</x:v>
      </x:c>
      <x:c r="E126" s="72" t="str">
        <x:f>IFERROR(IF(VLOOKUP(D126,Giocatori!$A$4:$C$73,2,FALSE)&lt;&gt;"",VLOOKUP(D126,Giocatori!$A$4:$C$73,2,FALSE),"Giocatore "&amp;D126),"Giocatore "&amp;D126)</x:f>
        <x:v>Casoria Felice</x:v>
      </x:c>
      <x:c r="F126" s="63" t="str"/>
      <x:c r="G126" s="63" t="str"/>
      <x:c r="H126" s="63" t="n">
        <x:v>0</x:v>
      </x:c>
      <x:c r="I126" s="72" t="str">
        <x:f>IF(OR(G126="",G126&lt;1,G126&gt;5),"",CHOOSE(G126,9,6,4,2,1)+2*IF(H126="",0,H126))</x:f>
      </x:c>
      <x:c r="J126" s="63" t="str"/>
    </x:row>
    <x:row r="127">
      <x:c r="A127" s="72" t="n">
        <x:v>2</x:v>
      </x:c>
      <x:c r="B127" s="72" t="str">
        <x:v>K</x:v>
      </x:c>
      <x:c r="C127" s="72" t="n">
        <x:v>3</x:v>
      </x:c>
      <x:c r="D127" s="72" t="n">
        <x:v>43</x:v>
      </x:c>
      <x:c r="E127" s="72" t="str">
        <x:f>IFERROR(IF(VLOOKUP(D127,Giocatori!$A$4:$C$73,2,FALSE)&lt;&gt;"",VLOOKUP(D127,Giocatori!$A$4:$C$73,2,FALSE),"Giocatore "&amp;D127),"Giocatore "&amp;D127)</x:f>
        <x:v>Ruotolo Sabatino</x:v>
      </x:c>
      <x:c r="F127" s="63" t="str"/>
      <x:c r="G127" s="63" t="str"/>
      <x:c r="H127" s="63" t="n">
        <x:v>0</x:v>
      </x:c>
      <x:c r="I127" s="72" t="str">
        <x:f>IF(OR(G127="",G127&lt;1,G127&gt;5),"",CHOOSE(G127,9,6,4,2,1)+2*IF(H127="",0,H127))</x:f>
      </x:c>
      <x:c r="J127" s="63" t="str"/>
    </x:row>
    <x:row r="128">
      <x:c r="A128" s="72" t="n">
        <x:v>2</x:v>
      </x:c>
      <x:c r="B128" s="72" t="str">
        <x:v>K</x:v>
      </x:c>
      <x:c r="C128" s="72" t="n">
        <x:v>4</x:v>
      </x:c>
      <x:c r="D128" s="72" t="n">
        <x:v>39</x:v>
      </x:c>
      <x:c r="E128" s="72" t="str">
        <x:f>IFERROR(IF(VLOOKUP(D128,Giocatori!$A$4:$C$73,2,FALSE)&lt;&gt;"",VLOOKUP(D128,Giocatori!$A$4:$C$73,2,FALSE),"Giocatore "&amp;D128),"Giocatore "&amp;D128)</x:f>
        <x:v>Ambrosino Lello</x:v>
      </x:c>
      <x:c r="F128" s="63" t="str"/>
      <x:c r="G128" s="63" t="str"/>
      <x:c r="H128" s="63" t="n">
        <x:v>0</x:v>
      </x:c>
      <x:c r="I128" s="72" t="str">
        <x:f>IF(OR(G128="",G128&lt;1,G128&gt;5),"",CHOOSE(G128,9,6,4,2,1)+2*IF(H128="",0,H128))</x:f>
      </x:c>
      <x:c r="J128" s="63" t="str"/>
    </x:row>
    <x:row r="129">
      <x:c r="A129" s="72" t="n">
        <x:v>2</x:v>
      </x:c>
      <x:c r="B129" s="72" t="str">
        <x:v>K</x:v>
      </x:c>
      <x:c r="C129" s="72" t="n">
        <x:v>5</x:v>
      </x:c>
      <x:c r="D129" s="72" t="n">
        <x:v>35</x:v>
      </x:c>
      <x:c r="E129" s="72" t="str">
        <x:f>IFERROR(IF(VLOOKUP(D129,Giocatori!$A$4:$C$73,2,FALSE)&lt;&gt;"",VLOOKUP(D129,Giocatori!$A$4:$C$73,2,FALSE),"Giocatore "&amp;D129),"Giocatore "&amp;D129)</x:f>
        <x:v>Panico Giuseppe</x:v>
      </x:c>
      <x:c r="F129" s="63" t="str"/>
      <x:c r="G129" s="63" t="str"/>
      <x:c r="H129" s="63" t="n">
        <x:v>0</x:v>
      </x:c>
      <x:c r="I129" s="72" t="str">
        <x:f>IF(OR(G129="",G129&lt;1,G129&gt;5),"",CHOOSE(G129,9,6,4,2,1)+2*IF(H129="",0,H129))</x:f>
      </x:c>
      <x:c r="J129" s="63" t="str"/>
    </x:row>
    <x:row r="130">
      <x:c r="A130" s="72" t="n">
        <x:v>2</x:v>
      </x:c>
      <x:c r="B130" s="72" t="str">
        <x:v>L</x:v>
      </x:c>
      <x:c r="C130" s="72" t="n">
        <x:v>1</x:v>
      </x:c>
      <x:c r="D130" s="72" t="n">
        <x:v>56</x:v>
      </x:c>
      <x:c r="E130" s="72" t="str">
        <x:f>IFERROR(IF(VLOOKUP(D130,Giocatori!$A$4:$C$73,2,FALSE)&lt;&gt;"",VLOOKUP(D130,Giocatori!$A$4:$C$73,2,FALSE),"Giocatore "&amp;D130),"Giocatore "&amp;D130)</x:f>
        <x:v>Oreste</x:v>
      </x:c>
      <x:c r="F130" s="63" t="str"/>
      <x:c r="G130" s="63" t="str"/>
      <x:c r="H130" s="63" t="n">
        <x:v>0</x:v>
      </x:c>
      <x:c r="I130" s="72" t="str">
        <x:f>IF(OR(G130="",G130&lt;1,G130&gt;5),"",CHOOSE(G130,9,6,4,2,1)+2*IF(H130="",0,H130))</x:f>
      </x:c>
      <x:c r="J130" s="63" t="str"/>
    </x:row>
    <x:row r="131">
      <x:c r="A131" s="72" t="n">
        <x:v>2</x:v>
      </x:c>
      <x:c r="B131" s="72" t="str">
        <x:v>L</x:v>
      </x:c>
      <x:c r="C131" s="72" t="n">
        <x:v>2</x:v>
      </x:c>
      <x:c r="D131" s="72" t="n">
        <x:v>52</x:v>
      </x:c>
      <x:c r="E131" s="72" t="str">
        <x:f>IFERROR(IF(VLOOKUP(D131,Giocatori!$A$4:$C$73,2,FALSE)&lt;&gt;"",VLOOKUP(D131,Giocatori!$A$4:$C$73,2,FALSE),"Giocatore "&amp;D131),"Giocatore "&amp;D131)</x:f>
        <x:v>Montanera Michele</x:v>
      </x:c>
      <x:c r="F131" s="63" t="str"/>
      <x:c r="G131" s="63" t="str"/>
      <x:c r="H131" s="63" t="n">
        <x:v>0</x:v>
      </x:c>
      <x:c r="I131" s="72" t="str">
        <x:f>IF(OR(G131="",G131&lt;1,G131&gt;5),"",CHOOSE(G131,9,6,4,2,1)+2*IF(H131="",0,H131))</x:f>
      </x:c>
      <x:c r="J131" s="63" t="str"/>
    </x:row>
    <x:row r="132">
      <x:c r="A132" s="72" t="n">
        <x:v>2</x:v>
      </x:c>
      <x:c r="B132" s="72" t="str">
        <x:v>L</x:v>
      </x:c>
      <x:c r="C132" s="72" t="n">
        <x:v>3</x:v>
      </x:c>
      <x:c r="D132" s="72" t="n">
        <x:v>48</x:v>
      </x:c>
      <x:c r="E132" s="72" t="str">
        <x:f>IFERROR(IF(VLOOKUP(D132,Giocatori!$A$4:$C$73,2,FALSE)&lt;&gt;"",VLOOKUP(D132,Giocatori!$A$4:$C$73,2,FALSE),"Giocatore "&amp;D132),"Giocatore "&amp;D132)</x:f>
        <x:v>Nspolitano Carlo</x:v>
      </x:c>
      <x:c r="F132" s="63" t="str"/>
      <x:c r="G132" s="63" t="str"/>
      <x:c r="H132" s="63" t="n">
        <x:v>0</x:v>
      </x:c>
      <x:c r="I132" s="72" t="str">
        <x:f>IF(OR(G132="",G132&lt;1,G132&gt;5),"",CHOOSE(G132,9,6,4,2,1)+2*IF(H132="",0,H132))</x:f>
      </x:c>
      <x:c r="J132" s="63" t="str"/>
    </x:row>
    <x:row r="133">
      <x:c r="A133" s="72" t="n">
        <x:v>2</x:v>
      </x:c>
      <x:c r="B133" s="72" t="str">
        <x:v>L</x:v>
      </x:c>
      <x:c r="C133" s="72" t="n">
        <x:v>4</x:v>
      </x:c>
      <x:c r="D133" s="72" t="n">
        <x:v>44</x:v>
      </x:c>
      <x:c r="E133" s="72" t="str">
        <x:f>IFERROR(IF(VLOOKUP(D133,Giocatori!$A$4:$C$73,2,FALSE)&lt;&gt;"",VLOOKUP(D133,Giocatori!$A$4:$C$73,2,FALSE),"Giocatore "&amp;D133),"Giocatore "&amp;D133)</x:f>
        <x:v>Abbate Michele</x:v>
      </x:c>
      <x:c r="F133" s="63" t="str"/>
      <x:c r="G133" s="63" t="str"/>
      <x:c r="H133" s="63" t="n">
        <x:v>0</x:v>
      </x:c>
      <x:c r="I133" s="72" t="str">
        <x:f>IF(OR(G133="",G133&lt;1,G133&gt;5),"",CHOOSE(G133,9,6,4,2,1)+2*IF(H133="",0,H133))</x:f>
      </x:c>
      <x:c r="J133" s="63" t="str"/>
    </x:row>
    <x:row r="134">
      <x:c r="A134" s="72" t="n">
        <x:v>2</x:v>
      </x:c>
      <x:c r="B134" s="72" t="str">
        <x:v>L</x:v>
      </x:c>
      <x:c r="C134" s="72" t="n">
        <x:v>5</x:v>
      </x:c>
      <x:c r="D134" s="72" t="n">
        <x:v>40</x:v>
      </x:c>
      <x:c r="E134" s="72" t="str">
        <x:f>IFERROR(IF(VLOOKUP(D134,Giocatori!$A$4:$C$73,2,FALSE)&lt;&gt;"",VLOOKUP(D134,Giocatori!$A$4:$C$73,2,FALSE),"Giocatore "&amp;D134),"Giocatore "&amp;D134)</x:f>
        <x:v>Carbone Felice</x:v>
      </x:c>
      <x:c r="F134" s="63" t="str"/>
      <x:c r="G134" s="63" t="str"/>
      <x:c r="H134" s="63" t="n">
        <x:v>0</x:v>
      </x:c>
      <x:c r="I134" s="72" t="str">
        <x:f>IF(OR(G134="",G134&lt;1,G134&gt;5),"",CHOOSE(G134,9,6,4,2,1)+2*IF(H134="",0,H134))</x:f>
      </x:c>
      <x:c r="J134" s="63" t="str"/>
    </x:row>
    <x:row r="135">
      <x:c r="A135" s="72" t="n">
        <x:v>2</x:v>
      </x:c>
      <x:c r="B135" s="72" t="str">
        <x:v>M</x:v>
      </x:c>
      <x:c r="C135" s="72" t="n">
        <x:v>1</x:v>
      </x:c>
      <x:c r="D135" s="72" t="n">
        <x:v>61</x:v>
      </x:c>
      <x:c r="E135" s="72" t="str">
        <x:f>IFERROR(IF(VLOOKUP(D135,Giocatori!$A$4:$C$73,2,FALSE)&lt;&gt;"",VLOOKUP(D135,Giocatori!$A$4:$C$73,2,FALSE),"Giocatore "&amp;D135),"Giocatore "&amp;D135)</x:f>
        <x:v>Mauro Cantice</x:v>
      </x:c>
      <x:c r="F135" s="63" t="str"/>
      <x:c r="G135" s="63" t="str"/>
      <x:c r="H135" s="63" t="n">
        <x:v>0</x:v>
      </x:c>
      <x:c r="I135" s="72" t="str">
        <x:f>IF(OR(G135="",G135&lt;1,G135&gt;5),"",CHOOSE(G135,9,6,4,2,1)+2*IF(H135="",0,H135))</x:f>
      </x:c>
      <x:c r="J135" s="63" t="str"/>
    </x:row>
    <x:row r="136">
      <x:c r="A136" s="72" t="n">
        <x:v>2</x:v>
      </x:c>
      <x:c r="B136" s="72" t="str">
        <x:v>M</x:v>
      </x:c>
      <x:c r="C136" s="72" t="n">
        <x:v>2</x:v>
      </x:c>
      <x:c r="D136" s="72" t="n">
        <x:v>57</x:v>
      </x:c>
      <x:c r="E136" s="72" t="str">
        <x:f>IFERROR(IF(VLOOKUP(D136,Giocatori!$A$4:$C$73,2,FALSE)&lt;&gt;"",VLOOKUP(D136,Giocatori!$A$4:$C$73,2,FALSE),"Giocatore "&amp;D136),"Giocatore "&amp;D136)</x:f>
        <x:v>Sirico Crescenzo</x:v>
      </x:c>
      <x:c r="F136" s="63" t="str"/>
      <x:c r="G136" s="63" t="str"/>
      <x:c r="H136" s="63" t="n">
        <x:v>0</x:v>
      </x:c>
      <x:c r="I136" s="72" t="str">
        <x:f>IF(OR(G136="",G136&lt;1,G136&gt;5),"",CHOOSE(G136,9,6,4,2,1)+2*IF(H136="",0,H136))</x:f>
      </x:c>
      <x:c r="J136" s="63" t="str"/>
    </x:row>
    <x:row r="137">
      <x:c r="A137" s="72" t="n">
        <x:v>2</x:v>
      </x:c>
      <x:c r="B137" s="72" t="str">
        <x:v>M</x:v>
      </x:c>
      <x:c r="C137" s="72" t="n">
        <x:v>3</x:v>
      </x:c>
      <x:c r="D137" s="72" t="n">
        <x:v>53</x:v>
      </x:c>
      <x:c r="E137" s="72" t="str">
        <x:f>IFERROR(IF(VLOOKUP(D137,Giocatori!$A$4:$C$73,2,FALSE)&lt;&gt;"",VLOOKUP(D137,Giocatori!$A$4:$C$73,2,FALSE),"Giocatore "&amp;D137),"Giocatore "&amp;D137)</x:f>
        <x:v>Gaita Rossano</x:v>
      </x:c>
      <x:c r="F137" s="63" t="str"/>
      <x:c r="G137" s="63" t="str"/>
      <x:c r="H137" s="63" t="n">
        <x:v>0</x:v>
      </x:c>
      <x:c r="I137" s="72" t="str">
        <x:f>IF(OR(G137="",G137&lt;1,G137&gt;5),"",CHOOSE(G137,9,6,4,2,1)+2*IF(H137="",0,H137))</x:f>
      </x:c>
      <x:c r="J137" s="63" t="str"/>
    </x:row>
    <x:row r="138">
      <x:c r="A138" s="72" t="n">
        <x:v>2</x:v>
      </x:c>
      <x:c r="B138" s="72" t="str">
        <x:v>M</x:v>
      </x:c>
      <x:c r="C138" s="72" t="n">
        <x:v>4</x:v>
      </x:c>
      <x:c r="D138" s="72" t="n">
        <x:v>49</x:v>
      </x:c>
      <x:c r="E138" s="72" t="str">
        <x:f>IFERROR(IF(VLOOKUP(D138,Giocatori!$A$4:$C$73,2,FALSE)&lt;&gt;"",VLOOKUP(D138,Giocatori!$A$4:$C$73,2,FALSE),"Giocatore "&amp;D138),"Giocatore "&amp;D138)</x:f>
        <x:v>Tufano Michele</x:v>
      </x:c>
      <x:c r="F138" s="63" t="str"/>
      <x:c r="G138" s="63" t="str"/>
      <x:c r="H138" s="63" t="n">
        <x:v>0</x:v>
      </x:c>
      <x:c r="I138" s="72" t="str">
        <x:f>IF(OR(G138="",G138&lt;1,G138&gt;5),"",CHOOSE(G138,9,6,4,2,1)+2*IF(H138="",0,H138))</x:f>
      </x:c>
      <x:c r="J138" s="63" t="str"/>
    </x:row>
    <x:row r="139">
      <x:c r="A139" s="72" t="n">
        <x:v>2</x:v>
      </x:c>
      <x:c r="B139" s="72" t="str">
        <x:v>M</x:v>
      </x:c>
      <x:c r="C139" s="72" t="n">
        <x:v>5</x:v>
      </x:c>
      <x:c r="D139" s="72" t="n">
        <x:v>45</x:v>
      </x:c>
      <x:c r="E139" s="72" t="str">
        <x:f>IFERROR(IF(VLOOKUP(D139,Giocatori!$A$4:$C$73,2,FALSE)&lt;&gt;"",VLOOKUP(D139,Giocatori!$A$4:$C$73,2,FALSE),"Giocatore "&amp;D139),"Giocatore "&amp;D139)</x:f>
        <x:v>Isernia Antonio</x:v>
      </x:c>
      <x:c r="F139" s="63" t="str"/>
      <x:c r="G139" s="63" t="str"/>
      <x:c r="H139" s="63" t="n">
        <x:v>0</x:v>
      </x:c>
      <x:c r="I139" s="72" t="str">
        <x:f>IF(OR(G139="",G139&lt;1,G139&gt;5),"",CHOOSE(G139,9,6,4,2,1)+2*IF(H139="",0,H139))</x:f>
      </x:c>
      <x:c r="J139" s="63" t="str"/>
    </x:row>
    <x:row r="140">
      <x:c r="A140" s="72" t="n">
        <x:v>2</x:v>
      </x:c>
      <x:c r="B140" s="72" t="str">
        <x:v>N</x:v>
      </x:c>
      <x:c r="C140" s="72" t="n">
        <x:v>1</x:v>
      </x:c>
      <x:c r="D140" s="72" t="n">
        <x:v>66</x:v>
      </x:c>
      <x:c r="E140" s="72" t="str">
        <x:f>IFERROR(IF(VLOOKUP(D140,Giocatori!$A$4:$C$73,2,FALSE)&lt;&gt;"",VLOOKUP(D140,Giocatori!$A$4:$C$73,2,FALSE),"Giocatore "&amp;D140),"Giocatore "&amp;D140)</x:f>
        <x:v>Giocatore 66</x:v>
      </x:c>
      <x:c r="F140" s="63" t="str"/>
      <x:c r="G140" s="63" t="str"/>
      <x:c r="H140" s="63" t="n">
        <x:v>0</x:v>
      </x:c>
      <x:c r="I140" s="72" t="str">
        <x:f>IF(OR(G140="",G140&lt;1,G140&gt;5),"",CHOOSE(G140,9,6,4,2,1)+2*IF(H140="",0,H140))</x:f>
      </x:c>
      <x:c r="J140" s="63" t="str"/>
    </x:row>
    <x:row r="141">
      <x:c r="A141" s="72" t="n">
        <x:v>2</x:v>
      </x:c>
      <x:c r="B141" s="72" t="str">
        <x:v>N</x:v>
      </x:c>
      <x:c r="C141" s="72" t="n">
        <x:v>2</x:v>
      </x:c>
      <x:c r="D141" s="72" t="n">
        <x:v>62</x:v>
      </x:c>
      <x:c r="E141" s="72" t="str">
        <x:f>IFERROR(IF(VLOOKUP(D141,Giocatori!$A$4:$C$73,2,FALSE)&lt;&gt;"",VLOOKUP(D141,Giocatori!$A$4:$C$73,2,FALSE),"Giocatore "&amp;D141),"Giocatore "&amp;D141)</x:f>
        <x:v>Corbo Angelo</x:v>
      </x:c>
      <x:c r="F141" s="63" t="str"/>
      <x:c r="G141" s="63" t="str"/>
      <x:c r="H141" s="63" t="n">
        <x:v>0</x:v>
      </x:c>
      <x:c r="I141" s="72" t="str">
        <x:f>IF(OR(G141="",G141&lt;1,G141&gt;5),"",CHOOSE(G141,9,6,4,2,1)+2*IF(H141="",0,H141))</x:f>
      </x:c>
      <x:c r="J141" s="63" t="str"/>
    </x:row>
    <x:row r="142">
      <x:c r="A142" s="72" t="n">
        <x:v>2</x:v>
      </x:c>
      <x:c r="B142" s="72" t="str">
        <x:v>N</x:v>
      </x:c>
      <x:c r="C142" s="72" t="n">
        <x:v>3</x:v>
      </x:c>
      <x:c r="D142" s="72" t="n">
        <x:v>58</x:v>
      </x:c>
      <x:c r="E142" s="72" t="str">
        <x:f>IFERROR(IF(VLOOKUP(D142,Giocatori!$A$4:$C$73,2,FALSE)&lt;&gt;"",VLOOKUP(D142,Giocatori!$A$4:$C$73,2,FALSE),"Giocatore "&amp;D142),"Giocatore "&amp;D142)</x:f>
        <x:v>Mauro Salvatore</x:v>
      </x:c>
      <x:c r="F142" s="63" t="str"/>
      <x:c r="G142" s="63" t="str"/>
      <x:c r="H142" s="63" t="n">
        <x:v>0</x:v>
      </x:c>
      <x:c r="I142" s="72" t="str">
        <x:f>IF(OR(G142="",G142&lt;1,G142&gt;5),"",CHOOSE(G142,9,6,4,2,1)+2*IF(H142="",0,H142))</x:f>
      </x:c>
      <x:c r="J142" s="63" t="str"/>
    </x:row>
    <x:row r="143">
      <x:c r="A143" s="72" t="n">
        <x:v>2</x:v>
      </x:c>
      <x:c r="B143" s="72" t="str">
        <x:v>N</x:v>
      </x:c>
      <x:c r="C143" s="72" t="n">
        <x:v>4</x:v>
      </x:c>
      <x:c r="D143" s="72" t="n">
        <x:v>54</x:v>
      </x:c>
      <x:c r="E143" s="72" t="str">
        <x:f>IFERROR(IF(VLOOKUP(D143,Giocatori!$A$4:$C$73,2,FALSE)&lt;&gt;"",VLOOKUP(D143,Giocatori!$A$4:$C$73,2,FALSE),"Giocatore "&amp;D143),"Giocatore "&amp;D143)</x:f>
        <x:v>Giugliano Domenico</x:v>
      </x:c>
      <x:c r="F143" s="63" t="str"/>
      <x:c r="G143" s="63" t="str"/>
      <x:c r="H143" s="63" t="n">
        <x:v>0</x:v>
      </x:c>
      <x:c r="I143" s="72" t="str">
        <x:f>IF(OR(G143="",G143&lt;1,G143&gt;5),"",CHOOSE(G143,9,6,4,2,1)+2*IF(H143="",0,H143))</x:f>
      </x:c>
      <x:c r="J143" s="63" t="str"/>
    </x:row>
    <x:row r="144">
      <x:c r="A144" s="72" t="n">
        <x:v>2</x:v>
      </x:c>
      <x:c r="B144" s="72" t="str">
        <x:v>N</x:v>
      </x:c>
      <x:c r="C144" s="72" t="n">
        <x:v>5</x:v>
      </x:c>
      <x:c r="D144" s="72" t="n">
        <x:v>50</x:v>
      </x:c>
      <x:c r="E144" s="72" t="str">
        <x:f>IFERROR(IF(VLOOKUP(D144,Giocatori!$A$4:$C$73,2,FALSE)&lt;&gt;"",VLOOKUP(D144,Giocatori!$A$4:$C$73,2,FALSE),"Giocatore "&amp;D144),"Giocatore "&amp;D144)</x:f>
        <x:v>Bartolo</x:v>
      </x:c>
      <x:c r="F144" s="63" t="str"/>
      <x:c r="G144" s="63" t="str"/>
      <x:c r="H144" s="63" t="n">
        <x:v>0</x:v>
      </x:c>
      <x:c r="I144" s="72" t="str">
        <x:f>IF(OR(G144="",G144&lt;1,G144&gt;5),"",CHOOSE(G144,9,6,4,2,1)+2*IF(H144="",0,H144))</x:f>
      </x:c>
      <x:c r="J144" s="63" t="str"/>
    </x:row>
    <x:row r="145">
      <x:c r="A145" s="76" t="n">
        <x:v>3</x:v>
      </x:c>
      <x:c r="B145" s="76" t="str">
        <x:v>A</x:v>
      </x:c>
      <x:c r="C145" s="76" t="n">
        <x:v>1</x:v>
      </x:c>
      <x:c r="D145" s="76" t="n">
        <x:v>1</x:v>
      </x:c>
      <x:c r="E145" s="76" t="str">
        <x:f>IFERROR(IF(VLOOKUP(D145,Giocatori!$A$4:$C$73,2,FALSE)&lt;&gt;"",VLOOKUP(D145,Giocatori!$A$4:$C$73,2,FALSE),"Giocatore "&amp;D145),"Giocatore "&amp;D145)</x:f>
        <x:v>Annunziata Michele</x:v>
      </x:c>
      <x:c r="F145" s="77" t="str"/>
      <x:c r="G145" s="77" t="str"/>
      <x:c r="H145" s="77" t="n">
        <x:v>0</x:v>
      </x:c>
      <x:c r="I145" s="76" t="str">
        <x:f>IF(OR(G145="",G145&lt;1,G145&gt;5),"",CHOOSE(G145,9,6,4,2,1)+2*IF(H145="",0,H145))</x:f>
      </x:c>
      <x:c r="J145" s="77" t="str"/>
    </x:row>
    <x:row r="146">
      <x:c r="A146" s="72" t="n">
        <x:v>3</x:v>
      </x:c>
      <x:c r="B146" s="72" t="str">
        <x:v>A</x:v>
      </x:c>
      <x:c r="C146" s="72" t="n">
        <x:v>2</x:v>
      </x:c>
      <x:c r="D146" s="72" t="n">
        <x:v>62</x:v>
      </x:c>
      <x:c r="E146" s="72" t="str">
        <x:f>IFERROR(IF(VLOOKUP(D146,Giocatori!$A$4:$C$73,2,FALSE)&lt;&gt;"",VLOOKUP(D146,Giocatori!$A$4:$C$73,2,FALSE),"Giocatore "&amp;D146),"Giocatore "&amp;D146)</x:f>
        <x:v>Corbo Angelo</x:v>
      </x:c>
      <x:c r="F146" s="63" t="str"/>
      <x:c r="G146" s="63" t="str"/>
      <x:c r="H146" s="63" t="n">
        <x:v>0</x:v>
      </x:c>
      <x:c r="I146" s="72" t="str">
        <x:f>IF(OR(G146="",G146&lt;1,G146&gt;5),"",CHOOSE(G146,9,6,4,2,1)+2*IF(H146="",0,H146))</x:f>
      </x:c>
      <x:c r="J146" s="63" t="str"/>
    </x:row>
    <x:row r="147">
      <x:c r="A147" s="72" t="n">
        <x:v>3</x:v>
      </x:c>
      <x:c r="B147" s="72" t="str">
        <x:v>A</x:v>
      </x:c>
      <x:c r="C147" s="72" t="n">
        <x:v>3</x:v>
      </x:c>
      <x:c r="D147" s="72" t="n">
        <x:v>53</x:v>
      </x:c>
      <x:c r="E147" s="72" t="str">
        <x:f>IFERROR(IF(VLOOKUP(D147,Giocatori!$A$4:$C$73,2,FALSE)&lt;&gt;"",VLOOKUP(D147,Giocatori!$A$4:$C$73,2,FALSE),"Giocatore "&amp;D147),"Giocatore "&amp;D147)</x:f>
        <x:v>Gaita Rossano</x:v>
      </x:c>
      <x:c r="F147" s="63" t="str"/>
      <x:c r="G147" s="63" t="str"/>
      <x:c r="H147" s="63" t="n">
        <x:v>0</x:v>
      </x:c>
      <x:c r="I147" s="72" t="str">
        <x:f>IF(OR(G147="",G147&lt;1,G147&gt;5),"",CHOOSE(G147,9,6,4,2,1)+2*IF(H147="",0,H147))</x:f>
      </x:c>
      <x:c r="J147" s="63" t="str"/>
    </x:row>
    <x:row r="148">
      <x:c r="A148" s="72" t="n">
        <x:v>3</x:v>
      </x:c>
      <x:c r="B148" s="72" t="str">
        <x:v>A</x:v>
      </x:c>
      <x:c r="C148" s="72" t="n">
        <x:v>4</x:v>
      </x:c>
      <x:c r="D148" s="72" t="n">
        <x:v>44</x:v>
      </x:c>
      <x:c r="E148" s="72" t="str">
        <x:f>IFERROR(IF(VLOOKUP(D148,Giocatori!$A$4:$C$73,2,FALSE)&lt;&gt;"",VLOOKUP(D148,Giocatori!$A$4:$C$73,2,FALSE),"Giocatore "&amp;D148),"Giocatore "&amp;D148)</x:f>
        <x:v>Abbate Michele</x:v>
      </x:c>
      <x:c r="F148" s="63" t="str"/>
      <x:c r="G148" s="63" t="str"/>
      <x:c r="H148" s="63" t="n">
        <x:v>0</x:v>
      </x:c>
      <x:c r="I148" s="72" t="str">
        <x:f>IF(OR(G148="",G148&lt;1,G148&gt;5),"",CHOOSE(G148,9,6,4,2,1)+2*IF(H148="",0,H148))</x:f>
      </x:c>
      <x:c r="J148" s="63" t="str"/>
    </x:row>
    <x:row r="149">
      <x:c r="A149" s="72" t="n">
        <x:v>3</x:v>
      </x:c>
      <x:c r="B149" s="72" t="str">
        <x:v>A</x:v>
      </x:c>
      <x:c r="C149" s="72" t="n">
        <x:v>5</x:v>
      </x:c>
      <x:c r="D149" s="72" t="n">
        <x:v>35</x:v>
      </x:c>
      <x:c r="E149" s="72" t="str">
        <x:f>IFERROR(IF(VLOOKUP(D149,Giocatori!$A$4:$C$73,2,FALSE)&lt;&gt;"",VLOOKUP(D149,Giocatori!$A$4:$C$73,2,FALSE),"Giocatore "&amp;D149),"Giocatore "&amp;D149)</x:f>
        <x:v>Panico Giuseppe</x:v>
      </x:c>
      <x:c r="F149" s="63" t="str"/>
      <x:c r="G149" s="63" t="str"/>
      <x:c r="H149" s="63" t="n">
        <x:v>0</x:v>
      </x:c>
      <x:c r="I149" s="72" t="str">
        <x:f>IF(OR(G149="",G149&lt;1,G149&gt;5),"",CHOOSE(G149,9,6,4,2,1)+2*IF(H149="",0,H149))</x:f>
      </x:c>
      <x:c r="J149" s="63" t="str"/>
    </x:row>
    <x:row r="150">
      <x:c r="A150" s="72" t="n">
        <x:v>3</x:v>
      </x:c>
      <x:c r="B150" s="72" t="str">
        <x:v>B</x:v>
      </x:c>
      <x:c r="C150" s="72" t="n">
        <x:v>1</x:v>
      </x:c>
      <x:c r="D150" s="72" t="n">
        <x:v>6</x:v>
      </x:c>
      <x:c r="E150" s="72" t="str">
        <x:f>IFERROR(IF(VLOOKUP(D150,Giocatori!$A$4:$C$73,2,FALSE)&lt;&gt;"",VLOOKUP(D150,Giocatori!$A$4:$C$73,2,FALSE),"Giocatore "&amp;D150),"Giocatore "&amp;D150)</x:f>
        <x:v>Panico Pasquale</x:v>
      </x:c>
      <x:c r="F150" s="63" t="str"/>
      <x:c r="G150" s="63" t="str"/>
      <x:c r="H150" s="63" t="n">
        <x:v>0</x:v>
      </x:c>
      <x:c r="I150" s="72" t="str">
        <x:f>IF(OR(G150="",G150&lt;1,G150&gt;5),"",CHOOSE(G150,9,6,4,2,1)+2*IF(H150="",0,H150))</x:f>
      </x:c>
      <x:c r="J150" s="63" t="str"/>
    </x:row>
    <x:row r="151">
      <x:c r="A151" s="72" t="n">
        <x:v>3</x:v>
      </x:c>
      <x:c r="B151" s="72" t="str">
        <x:v>B</x:v>
      </x:c>
      <x:c r="C151" s="72" t="n">
        <x:v>2</x:v>
      </x:c>
      <x:c r="D151" s="72" t="n">
        <x:v>67</x:v>
      </x:c>
      <x:c r="E151" s="72" t="str">
        <x:f>IFERROR(IF(VLOOKUP(D151,Giocatori!$A$4:$C$73,2,FALSE)&lt;&gt;"",VLOOKUP(D151,Giocatori!$A$4:$C$73,2,FALSE),"Giocatore "&amp;D151),"Giocatore "&amp;D151)</x:f>
        <x:v>Giocatore 67</x:v>
      </x:c>
      <x:c r="F151" s="63" t="str"/>
      <x:c r="G151" s="63" t="str"/>
      <x:c r="H151" s="63" t="n">
        <x:v>0</x:v>
      </x:c>
      <x:c r="I151" s="72" t="str">
        <x:f>IF(OR(G151="",G151&lt;1,G151&gt;5),"",CHOOSE(G151,9,6,4,2,1)+2*IF(H151="",0,H151))</x:f>
      </x:c>
      <x:c r="J151" s="63" t="str"/>
    </x:row>
    <x:row r="152">
      <x:c r="A152" s="72" t="n">
        <x:v>3</x:v>
      </x:c>
      <x:c r="B152" s="72" t="str">
        <x:v>B</x:v>
      </x:c>
      <x:c r="C152" s="72" t="n">
        <x:v>3</x:v>
      </x:c>
      <x:c r="D152" s="72" t="n">
        <x:v>58</x:v>
      </x:c>
      <x:c r="E152" s="72" t="str">
        <x:f>IFERROR(IF(VLOOKUP(D152,Giocatori!$A$4:$C$73,2,FALSE)&lt;&gt;"",VLOOKUP(D152,Giocatori!$A$4:$C$73,2,FALSE),"Giocatore "&amp;D152),"Giocatore "&amp;D152)</x:f>
        <x:v>Mauro Salvatore</x:v>
      </x:c>
      <x:c r="F152" s="63" t="str"/>
      <x:c r="G152" s="63" t="str"/>
      <x:c r="H152" s="63" t="n">
        <x:v>0</x:v>
      </x:c>
      <x:c r="I152" s="72" t="str">
        <x:f>IF(OR(G152="",G152&lt;1,G152&gt;5),"",CHOOSE(G152,9,6,4,2,1)+2*IF(H152="",0,H152))</x:f>
      </x:c>
      <x:c r="J152" s="63" t="str"/>
    </x:row>
    <x:row r="153">
      <x:c r="A153" s="72" t="n">
        <x:v>3</x:v>
      </x:c>
      <x:c r="B153" s="72" t="str">
        <x:v>B</x:v>
      </x:c>
      <x:c r="C153" s="72" t="n">
        <x:v>4</x:v>
      </x:c>
      <x:c r="D153" s="72" t="n">
        <x:v>49</x:v>
      </x:c>
      <x:c r="E153" s="72" t="str">
        <x:f>IFERROR(IF(VLOOKUP(D153,Giocatori!$A$4:$C$73,2,FALSE)&lt;&gt;"",VLOOKUP(D153,Giocatori!$A$4:$C$73,2,FALSE),"Giocatore "&amp;D153),"Giocatore "&amp;D153)</x:f>
        <x:v>Tufano Michele</x:v>
      </x:c>
      <x:c r="F153" s="63" t="str"/>
      <x:c r="G153" s="63" t="str"/>
      <x:c r="H153" s="63" t="n">
        <x:v>0</x:v>
      </x:c>
      <x:c r="I153" s="72" t="str">
        <x:f>IF(OR(G153="",G153&lt;1,G153&gt;5),"",CHOOSE(G153,9,6,4,2,1)+2*IF(H153="",0,H153))</x:f>
      </x:c>
      <x:c r="J153" s="63" t="str"/>
    </x:row>
    <x:row r="154">
      <x:c r="A154" s="72" t="n">
        <x:v>3</x:v>
      </x:c>
      <x:c r="B154" s="72" t="str">
        <x:v>B</x:v>
      </x:c>
      <x:c r="C154" s="72" t="n">
        <x:v>5</x:v>
      </x:c>
      <x:c r="D154" s="72" t="n">
        <x:v>40</x:v>
      </x:c>
      <x:c r="E154" s="72" t="str">
        <x:f>IFERROR(IF(VLOOKUP(D154,Giocatori!$A$4:$C$73,2,FALSE)&lt;&gt;"",VLOOKUP(D154,Giocatori!$A$4:$C$73,2,FALSE),"Giocatore "&amp;D154),"Giocatore "&amp;D154)</x:f>
        <x:v>Carbone Felice</x:v>
      </x:c>
      <x:c r="F154" s="63" t="str"/>
      <x:c r="G154" s="63" t="str"/>
      <x:c r="H154" s="63" t="n">
        <x:v>0</x:v>
      </x:c>
      <x:c r="I154" s="72" t="str">
        <x:f>IF(OR(G154="",G154&lt;1,G154&gt;5),"",CHOOSE(G154,9,6,4,2,1)+2*IF(H154="",0,H154))</x:f>
      </x:c>
      <x:c r="J154" s="63" t="str"/>
    </x:row>
    <x:row r="155">
      <x:c r="A155" s="72" t="n">
        <x:v>3</x:v>
      </x:c>
      <x:c r="B155" s="72" t="str">
        <x:v>C</x:v>
      </x:c>
      <x:c r="C155" s="72" t="n">
        <x:v>1</x:v>
      </x:c>
      <x:c r="D155" s="72" t="n">
        <x:v>11</x:v>
      </x:c>
      <x:c r="E155" s="72" t="str">
        <x:f>IFERROR(IF(VLOOKUP(D155,Giocatori!$A$4:$C$73,2,FALSE)&lt;&gt;"",VLOOKUP(D155,Giocatori!$A$4:$C$73,2,FALSE),"Giocatore "&amp;D155),"Giocatore "&amp;D155)</x:f>
        <x:v>Notaro Giacomo</x:v>
      </x:c>
      <x:c r="F155" s="63" t="str"/>
      <x:c r="G155" s="63" t="str"/>
      <x:c r="H155" s="63" t="n">
        <x:v>0</x:v>
      </x:c>
      <x:c r="I155" s="72" t="str">
        <x:f>IF(OR(G155="",G155&lt;1,G155&gt;5),"",CHOOSE(G155,9,6,4,2,1)+2*IF(H155="",0,H155))</x:f>
      </x:c>
      <x:c r="J155" s="63" t="str"/>
    </x:row>
    <x:row r="156">
      <x:c r="A156" s="72" t="n">
        <x:v>3</x:v>
      </x:c>
      <x:c r="B156" s="72" t="str">
        <x:v>C</x:v>
      </x:c>
      <x:c r="C156" s="72" t="n">
        <x:v>2</x:v>
      </x:c>
      <x:c r="D156" s="72" t="n">
        <x:v>2</x:v>
      </x:c>
      <x:c r="E156" s="72" t="str">
        <x:f>IFERROR(IF(VLOOKUP(D156,Giocatori!$A$4:$C$73,2,FALSE)&lt;&gt;"",VLOOKUP(D156,Giocatori!$A$4:$C$73,2,FALSE),"Giocatore "&amp;D156),"Giocatore "&amp;D156)</x:f>
        <x:v>La Marca Carlo</x:v>
      </x:c>
      <x:c r="F156" s="63" t="str"/>
      <x:c r="G156" s="63" t="str"/>
      <x:c r="H156" s="63" t="n">
        <x:v>0</x:v>
      </x:c>
      <x:c r="I156" s="72" t="str">
        <x:f>IF(OR(G156="",G156&lt;1,G156&gt;5),"",CHOOSE(G156,9,6,4,2,1)+2*IF(H156="",0,H156))</x:f>
      </x:c>
      <x:c r="J156" s="63" t="str"/>
    </x:row>
    <x:row r="157">
      <x:c r="A157" s="72" t="n">
        <x:v>3</x:v>
      </x:c>
      <x:c r="B157" s="72" t="str">
        <x:v>C</x:v>
      </x:c>
      <x:c r="C157" s="72" t="n">
        <x:v>3</x:v>
      </x:c>
      <x:c r="D157" s="72" t="n">
        <x:v>63</x:v>
      </x:c>
      <x:c r="E157" s="72" t="str">
        <x:f>IFERROR(IF(VLOOKUP(D157,Giocatori!$A$4:$C$73,2,FALSE)&lt;&gt;"",VLOOKUP(D157,Giocatori!$A$4:$C$73,2,FALSE),"Giocatore "&amp;D157),"Giocatore "&amp;D157)</x:f>
        <x:v>Fuschillo Francesco</x:v>
      </x:c>
      <x:c r="F157" s="63" t="str"/>
      <x:c r="G157" s="63" t="str"/>
      <x:c r="H157" s="63" t="n">
        <x:v>0</x:v>
      </x:c>
      <x:c r="I157" s="72" t="str">
        <x:f>IF(OR(G157="",G157&lt;1,G157&gt;5),"",CHOOSE(G157,9,6,4,2,1)+2*IF(H157="",0,H157))</x:f>
      </x:c>
      <x:c r="J157" s="63" t="str"/>
    </x:row>
    <x:row r="158">
      <x:c r="A158" s="72" t="n">
        <x:v>3</x:v>
      </x:c>
      <x:c r="B158" s="72" t="str">
        <x:v>C</x:v>
      </x:c>
      <x:c r="C158" s="72" t="n">
        <x:v>4</x:v>
      </x:c>
      <x:c r="D158" s="72" t="n">
        <x:v>54</x:v>
      </x:c>
      <x:c r="E158" s="72" t="str">
        <x:f>IFERROR(IF(VLOOKUP(D158,Giocatori!$A$4:$C$73,2,FALSE)&lt;&gt;"",VLOOKUP(D158,Giocatori!$A$4:$C$73,2,FALSE),"Giocatore "&amp;D158),"Giocatore "&amp;D158)</x:f>
        <x:v>Giugliano Domenico</x:v>
      </x:c>
      <x:c r="F158" s="63" t="str"/>
      <x:c r="G158" s="63" t="str"/>
      <x:c r="H158" s="63" t="n">
        <x:v>0</x:v>
      </x:c>
      <x:c r="I158" s="72" t="str">
        <x:f>IF(OR(G158="",G158&lt;1,G158&gt;5),"",CHOOSE(G158,9,6,4,2,1)+2*IF(H158="",0,H158))</x:f>
      </x:c>
      <x:c r="J158" s="63" t="str"/>
    </x:row>
    <x:row r="159">
      <x:c r="A159" s="72" t="n">
        <x:v>3</x:v>
      </x:c>
      <x:c r="B159" s="72" t="str">
        <x:v>C</x:v>
      </x:c>
      <x:c r="C159" s="72" t="n">
        <x:v>5</x:v>
      </x:c>
      <x:c r="D159" s="72" t="n">
        <x:v>45</x:v>
      </x:c>
      <x:c r="E159" s="72" t="str">
        <x:f>IFERROR(IF(VLOOKUP(D159,Giocatori!$A$4:$C$73,2,FALSE)&lt;&gt;"",VLOOKUP(D159,Giocatori!$A$4:$C$73,2,FALSE),"Giocatore "&amp;D159),"Giocatore "&amp;D159)</x:f>
        <x:v>Isernia Antonio</x:v>
      </x:c>
      <x:c r="F159" s="63" t="str"/>
      <x:c r="G159" s="63" t="str"/>
      <x:c r="H159" s="63" t="n">
        <x:v>0</x:v>
      </x:c>
      <x:c r="I159" s="72" t="str">
        <x:f>IF(OR(G159="",G159&lt;1,G159&gt;5),"",CHOOSE(G159,9,6,4,2,1)+2*IF(H159="",0,H159))</x:f>
      </x:c>
      <x:c r="J159" s="63" t="str"/>
    </x:row>
    <x:row r="160">
      <x:c r="A160" s="72" t="n">
        <x:v>3</x:v>
      </x:c>
      <x:c r="B160" s="72" t="str">
        <x:v>D</x:v>
      </x:c>
      <x:c r="C160" s="72" t="n">
        <x:v>1</x:v>
      </x:c>
      <x:c r="D160" s="72" t="n">
        <x:v>16</x:v>
      </x:c>
      <x:c r="E160" s="72" t="str">
        <x:f>IFERROR(IF(VLOOKUP(D160,Giocatori!$A$4:$C$73,2,FALSE)&lt;&gt;"",VLOOKUP(D160,Giocatori!$A$4:$C$73,2,FALSE),"Giocatore "&amp;D160),"Giocatore "&amp;D160)</x:f>
        <x:v>Beracci Benedetto</x:v>
      </x:c>
      <x:c r="F160" s="63" t="str"/>
      <x:c r="G160" s="63" t="str"/>
      <x:c r="H160" s="63" t="n">
        <x:v>0</x:v>
      </x:c>
      <x:c r="I160" s="72" t="str">
        <x:f>IF(OR(G160="",G160&lt;1,G160&gt;5),"",CHOOSE(G160,9,6,4,2,1)+2*IF(H160="",0,H160))</x:f>
      </x:c>
      <x:c r="J160" s="63" t="str"/>
    </x:row>
    <x:row r="161">
      <x:c r="A161" s="72" t="n">
        <x:v>3</x:v>
      </x:c>
      <x:c r="B161" s="72" t="str">
        <x:v>D</x:v>
      </x:c>
      <x:c r="C161" s="72" t="n">
        <x:v>2</x:v>
      </x:c>
      <x:c r="D161" s="72" t="n">
        <x:v>7</x:v>
      </x:c>
      <x:c r="E161" s="72" t="str">
        <x:f>IFERROR(IF(VLOOKUP(D161,Giocatori!$A$4:$C$73,2,FALSE)&lt;&gt;"",VLOOKUP(D161,Giocatori!$A$4:$C$73,2,FALSE),"Giocatore "&amp;D161),"Giocatore "&amp;D161)</x:f>
        <x:v>Ambrosino Michele</x:v>
      </x:c>
      <x:c r="F161" s="63" t="str"/>
      <x:c r="G161" s="63" t="str"/>
      <x:c r="H161" s="63" t="n">
        <x:v>0</x:v>
      </x:c>
      <x:c r="I161" s="72" t="str">
        <x:f>IF(OR(G161="",G161&lt;1,G161&gt;5),"",CHOOSE(G161,9,6,4,2,1)+2*IF(H161="",0,H161))</x:f>
      </x:c>
      <x:c r="J161" s="63" t="str"/>
    </x:row>
    <x:row r="162">
      <x:c r="A162" s="72" t="n">
        <x:v>3</x:v>
      </x:c>
      <x:c r="B162" s="72" t="str">
        <x:v>D</x:v>
      </x:c>
      <x:c r="C162" s="72" t="n">
        <x:v>3</x:v>
      </x:c>
      <x:c r="D162" s="72" t="n">
        <x:v>68</x:v>
      </x:c>
      <x:c r="E162" s="72" t="str">
        <x:f>IFERROR(IF(VLOOKUP(D162,Giocatori!$A$4:$C$73,2,FALSE)&lt;&gt;"",VLOOKUP(D162,Giocatori!$A$4:$C$73,2,FALSE),"Giocatore "&amp;D162),"Giocatore "&amp;D162)</x:f>
        <x:v>Giocatore 68</x:v>
      </x:c>
      <x:c r="F162" s="63" t="str"/>
      <x:c r="G162" s="63" t="str"/>
      <x:c r="H162" s="63" t="n">
        <x:v>0</x:v>
      </x:c>
      <x:c r="I162" s="72" t="str">
        <x:f>IF(OR(G162="",G162&lt;1,G162&gt;5),"",CHOOSE(G162,9,6,4,2,1)+2*IF(H162="",0,H162))</x:f>
      </x:c>
      <x:c r="J162" s="63" t="str"/>
    </x:row>
    <x:row r="163">
      <x:c r="A163" s="72" t="n">
        <x:v>3</x:v>
      </x:c>
      <x:c r="B163" s="72" t="str">
        <x:v>D</x:v>
      </x:c>
      <x:c r="C163" s="72" t="n">
        <x:v>4</x:v>
      </x:c>
      <x:c r="D163" s="72" t="n">
        <x:v>59</x:v>
      </x:c>
      <x:c r="E163" s="72" t="str">
        <x:f>IFERROR(IF(VLOOKUP(D163,Giocatori!$A$4:$C$73,2,FALSE)&lt;&gt;"",VLOOKUP(D163,Giocatori!$A$4:$C$73,2,FALSE),"Giocatore "&amp;D163),"Giocatore "&amp;D163)</x:f>
        <x:v>Angiero Anna</x:v>
      </x:c>
      <x:c r="F163" s="63" t="str"/>
      <x:c r="G163" s="63" t="str"/>
      <x:c r="H163" s="63" t="n">
        <x:v>0</x:v>
      </x:c>
      <x:c r="I163" s="72" t="str">
        <x:f>IF(OR(G163="",G163&lt;1,G163&gt;5),"",CHOOSE(G163,9,6,4,2,1)+2*IF(H163="",0,H163))</x:f>
      </x:c>
      <x:c r="J163" s="63" t="str"/>
    </x:row>
    <x:row r="164">
      <x:c r="A164" s="72" t="n">
        <x:v>3</x:v>
      </x:c>
      <x:c r="B164" s="72" t="str">
        <x:v>D</x:v>
      </x:c>
      <x:c r="C164" s="72" t="n">
        <x:v>5</x:v>
      </x:c>
      <x:c r="D164" s="72" t="n">
        <x:v>50</x:v>
      </x:c>
      <x:c r="E164" s="72" t="str">
        <x:f>IFERROR(IF(VLOOKUP(D164,Giocatori!$A$4:$C$73,2,FALSE)&lt;&gt;"",VLOOKUP(D164,Giocatori!$A$4:$C$73,2,FALSE),"Giocatore "&amp;D164),"Giocatore "&amp;D164)</x:f>
        <x:v>Bartolo</x:v>
      </x:c>
      <x:c r="F164" s="63" t="str"/>
      <x:c r="G164" s="63" t="str"/>
      <x:c r="H164" s="63" t="n">
        <x:v>0</x:v>
      </x:c>
      <x:c r="I164" s="72" t="str">
        <x:f>IF(OR(G164="",G164&lt;1,G164&gt;5),"",CHOOSE(G164,9,6,4,2,1)+2*IF(H164="",0,H164))</x:f>
      </x:c>
      <x:c r="J164" s="63" t="str"/>
    </x:row>
    <x:row r="165">
      <x:c r="A165" s="72" t="n">
        <x:v>3</x:v>
      </x:c>
      <x:c r="B165" s="72" t="str">
        <x:v>E</x:v>
      </x:c>
      <x:c r="C165" s="72" t="n">
        <x:v>1</x:v>
      </x:c>
      <x:c r="D165" s="72" t="n">
        <x:v>21</x:v>
      </x:c>
      <x:c r="E165" s="72" t="str">
        <x:f>IFERROR(IF(VLOOKUP(D165,Giocatori!$A$4:$C$73,2,FALSE)&lt;&gt;"",VLOOKUP(D165,Giocatori!$A$4:$C$73,2,FALSE),"Giocatore "&amp;D165),"Giocatore "&amp;D165)</x:f>
        <x:v>Tufano Raffaele</x:v>
      </x:c>
      <x:c r="F165" s="63" t="str"/>
      <x:c r="G165" s="63" t="str"/>
      <x:c r="H165" s="63" t="n">
        <x:v>0</x:v>
      </x:c>
      <x:c r="I165" s="72" t="str">
        <x:f>IF(OR(G165="",G165&lt;1,G165&gt;5),"",CHOOSE(G165,9,6,4,2,1)+2*IF(H165="",0,H165))</x:f>
      </x:c>
      <x:c r="J165" s="63" t="str"/>
    </x:row>
    <x:row r="166">
      <x:c r="A166" s="72" t="n">
        <x:v>3</x:v>
      </x:c>
      <x:c r="B166" s="72" t="str">
        <x:v>E</x:v>
      </x:c>
      <x:c r="C166" s="72" t="n">
        <x:v>2</x:v>
      </x:c>
      <x:c r="D166" s="72" t="n">
        <x:v>12</x:v>
      </x:c>
      <x:c r="E166" s="72" t="str">
        <x:f>IFERROR(IF(VLOOKUP(D166,Giocatori!$A$4:$C$73,2,FALSE)&lt;&gt;"",VLOOKUP(D166,Giocatori!$A$4:$C$73,2,FALSE),"Giocatore "&amp;D166),"Giocatore "&amp;D166)</x:f>
        <x:v>Scognamiglio Alfredo</x:v>
      </x:c>
      <x:c r="F166" s="63" t="str"/>
      <x:c r="G166" s="63" t="str"/>
      <x:c r="H166" s="63" t="n">
        <x:v>0</x:v>
      </x:c>
      <x:c r="I166" s="72" t="str">
        <x:f>IF(OR(G166="",G166&lt;1,G166&gt;5),"",CHOOSE(G166,9,6,4,2,1)+2*IF(H166="",0,H166))</x:f>
      </x:c>
      <x:c r="J166" s="63" t="str"/>
    </x:row>
    <x:row r="167">
      <x:c r="A167" s="72" t="n">
        <x:v>3</x:v>
      </x:c>
      <x:c r="B167" s="72" t="str">
        <x:v>E</x:v>
      </x:c>
      <x:c r="C167" s="72" t="n">
        <x:v>3</x:v>
      </x:c>
      <x:c r="D167" s="72" t="n">
        <x:v>3</x:v>
      </x:c>
      <x:c r="E167" s="72" t="str">
        <x:f>IFERROR(IF(VLOOKUP(D167,Giocatori!$A$4:$C$73,2,FALSE)&lt;&gt;"",VLOOKUP(D167,Giocatori!$A$4:$C$73,2,FALSE),"Giocatore "&amp;D167),"Giocatore "&amp;D167)</x:f>
        <x:v>Sommese Antonio</x:v>
      </x:c>
      <x:c r="F167" s="63" t="str"/>
      <x:c r="G167" s="63" t="str"/>
      <x:c r="H167" s="63" t="n">
        <x:v>0</x:v>
      </x:c>
      <x:c r="I167" s="72" t="str">
        <x:f>IF(OR(G167="",G167&lt;1,G167&gt;5),"",CHOOSE(G167,9,6,4,2,1)+2*IF(H167="",0,H167))</x:f>
      </x:c>
      <x:c r="J167" s="63" t="str"/>
    </x:row>
    <x:row r="168">
      <x:c r="A168" s="72" t="n">
        <x:v>3</x:v>
      </x:c>
      <x:c r="B168" s="72" t="str">
        <x:v>E</x:v>
      </x:c>
      <x:c r="C168" s="72" t="n">
        <x:v>4</x:v>
      </x:c>
      <x:c r="D168" s="72" t="n">
        <x:v>64</x:v>
      </x:c>
      <x:c r="E168" s="72" t="str">
        <x:f>IFERROR(IF(VLOOKUP(D168,Giocatori!$A$4:$C$73,2,FALSE)&lt;&gt;"",VLOOKUP(D168,Giocatori!$A$4:$C$73,2,FALSE),"Giocatore "&amp;D168),"Giocatore "&amp;D168)</x:f>
        <x:v>Tufano Michele 2</x:v>
      </x:c>
      <x:c r="F168" s="63" t="str"/>
      <x:c r="G168" s="63" t="str"/>
      <x:c r="H168" s="63" t="n">
        <x:v>0</x:v>
      </x:c>
      <x:c r="I168" s="72" t="str">
        <x:f>IF(OR(G168="",G168&lt;1,G168&gt;5),"",CHOOSE(G168,9,6,4,2,1)+2*IF(H168="",0,H168))</x:f>
      </x:c>
      <x:c r="J168" s="63" t="str"/>
    </x:row>
    <x:row r="169">
      <x:c r="A169" s="72" t="n">
        <x:v>3</x:v>
      </x:c>
      <x:c r="B169" s="72" t="str">
        <x:v>E</x:v>
      </x:c>
      <x:c r="C169" s="72" t="n">
        <x:v>5</x:v>
      </x:c>
      <x:c r="D169" s="72" t="n">
        <x:v>55</x:v>
      </x:c>
      <x:c r="E169" s="72" t="str">
        <x:f>IFERROR(IF(VLOOKUP(D169,Giocatori!$A$4:$C$73,2,FALSE)&lt;&gt;"",VLOOKUP(D169,Giocatori!$A$4:$C$73,2,FALSE),"Giocatore "&amp;D169),"Giocatore "&amp;D169)</x:f>
        <x:v>Montanera Raffaele</x:v>
      </x:c>
      <x:c r="F169" s="63" t="str"/>
      <x:c r="G169" s="63" t="str"/>
      <x:c r="H169" s="63" t="n">
        <x:v>0</x:v>
      </x:c>
      <x:c r="I169" s="72" t="str">
        <x:f>IF(OR(G169="",G169&lt;1,G169&gt;5),"",CHOOSE(G169,9,6,4,2,1)+2*IF(H169="",0,H169))</x:f>
      </x:c>
      <x:c r="J169" s="63" t="str"/>
    </x:row>
    <x:row r="170">
      <x:c r="A170" s="72" t="n">
        <x:v>3</x:v>
      </x:c>
      <x:c r="B170" s="72" t="str">
        <x:v>F</x:v>
      </x:c>
      <x:c r="C170" s="72" t="n">
        <x:v>1</x:v>
      </x:c>
      <x:c r="D170" s="72" t="n">
        <x:v>26</x:v>
      </x:c>
      <x:c r="E170" s="72" t="str">
        <x:f>IFERROR(IF(VLOOKUP(D170,Giocatori!$A$4:$C$73,2,FALSE)&lt;&gt;"",VLOOKUP(D170,Giocatori!$A$4:$C$73,2,FALSE),"Giocatore "&amp;D170),"Giocatore "&amp;D170)</x:f>
        <x:v>Gesso Marco</x:v>
      </x:c>
      <x:c r="F170" s="63" t="str"/>
      <x:c r="G170" s="63" t="str"/>
      <x:c r="H170" s="63" t="n">
        <x:v>0</x:v>
      </x:c>
      <x:c r="I170" s="72" t="str">
        <x:f>IF(OR(G170="",G170&lt;1,G170&gt;5),"",CHOOSE(G170,9,6,4,2,1)+2*IF(H170="",0,H170))</x:f>
      </x:c>
      <x:c r="J170" s="63" t="str"/>
    </x:row>
    <x:row r="171">
      <x:c r="A171" s="72" t="n">
        <x:v>3</x:v>
      </x:c>
      <x:c r="B171" s="72" t="str">
        <x:v>F</x:v>
      </x:c>
      <x:c r="C171" s="72" t="n">
        <x:v>2</x:v>
      </x:c>
      <x:c r="D171" s="72" t="n">
        <x:v>17</x:v>
      </x:c>
      <x:c r="E171" s="72" t="str">
        <x:f>IFERROR(IF(VLOOKUP(D171,Giocatori!$A$4:$C$73,2,FALSE)&lt;&gt;"",VLOOKUP(D171,Giocatori!$A$4:$C$73,2,FALSE),"Giocatore "&amp;D171),"Giocatore "&amp;D171)</x:f>
        <x:v>Tufano Giovanni</x:v>
      </x:c>
      <x:c r="F171" s="63" t="str"/>
      <x:c r="G171" s="63" t="str"/>
      <x:c r="H171" s="63" t="n">
        <x:v>0</x:v>
      </x:c>
      <x:c r="I171" s="72" t="str">
        <x:f>IF(OR(G171="",G171&lt;1,G171&gt;5),"",CHOOSE(G171,9,6,4,2,1)+2*IF(H171="",0,H171))</x:f>
      </x:c>
      <x:c r="J171" s="63" t="str"/>
    </x:row>
    <x:row r="172">
      <x:c r="A172" s="72" t="n">
        <x:v>3</x:v>
      </x:c>
      <x:c r="B172" s="72" t="str">
        <x:v>F</x:v>
      </x:c>
      <x:c r="C172" s="72" t="n">
        <x:v>3</x:v>
      </x:c>
      <x:c r="D172" s="72" t="n">
        <x:v>8</x:v>
      </x:c>
      <x:c r="E172" s="72" t="str">
        <x:f>IFERROR(IF(VLOOKUP(D172,Giocatori!$A$4:$C$73,2,FALSE)&lt;&gt;"",VLOOKUP(D172,Giocatori!$A$4:$C$73,2,FALSE),"Giocatore "&amp;D172),"Giocatore "&amp;D172)</x:f>
        <x:v>Ambrosino Raffaele</x:v>
      </x:c>
      <x:c r="F172" s="63" t="str"/>
      <x:c r="G172" s="63" t="str"/>
      <x:c r="H172" s="63" t="n">
        <x:v>0</x:v>
      </x:c>
      <x:c r="I172" s="72" t="str">
        <x:f>IF(OR(G172="",G172&lt;1,G172&gt;5),"",CHOOSE(G172,9,6,4,2,1)+2*IF(H172="",0,H172))</x:f>
      </x:c>
      <x:c r="J172" s="63" t="str"/>
    </x:row>
    <x:row r="173">
      <x:c r="A173" s="72" t="n">
        <x:v>3</x:v>
      </x:c>
      <x:c r="B173" s="72" t="str">
        <x:v>F</x:v>
      </x:c>
      <x:c r="C173" s="72" t="n">
        <x:v>4</x:v>
      </x:c>
      <x:c r="D173" s="72" t="n">
        <x:v>69</x:v>
      </x:c>
      <x:c r="E173" s="72" t="str">
        <x:f>IFERROR(IF(VLOOKUP(D173,Giocatori!$A$4:$C$73,2,FALSE)&lt;&gt;"",VLOOKUP(D173,Giocatori!$A$4:$C$73,2,FALSE),"Giocatore "&amp;D173),"Giocatore "&amp;D173)</x:f>
        <x:v>Giocatore 69</x:v>
      </x:c>
      <x:c r="F173" s="63" t="str"/>
      <x:c r="G173" s="63" t="str"/>
      <x:c r="H173" s="63" t="n">
        <x:v>0</x:v>
      </x:c>
      <x:c r="I173" s="72" t="str">
        <x:f>IF(OR(G173="",G173&lt;1,G173&gt;5),"",CHOOSE(G173,9,6,4,2,1)+2*IF(H173="",0,H173))</x:f>
      </x:c>
      <x:c r="J173" s="63" t="str"/>
    </x:row>
    <x:row r="174">
      <x:c r="A174" s="72" t="n">
        <x:v>3</x:v>
      </x:c>
      <x:c r="B174" s="72" t="str">
        <x:v>F</x:v>
      </x:c>
      <x:c r="C174" s="72" t="n">
        <x:v>5</x:v>
      </x:c>
      <x:c r="D174" s="72" t="n">
        <x:v>60</x:v>
      </x:c>
      <x:c r="E174" s="72" t="str">
        <x:f>IFERROR(IF(VLOOKUP(D174,Giocatori!$A$4:$C$73,2,FALSE)&lt;&gt;"",VLOOKUP(D174,Giocatori!$A$4:$C$73,2,FALSE),"Giocatore "&amp;D174),"Giocatore "&amp;D174)</x:f>
        <x:v>Di Grazia Salvatore</x:v>
      </x:c>
      <x:c r="F174" s="63" t="str"/>
      <x:c r="G174" s="63" t="str"/>
      <x:c r="H174" s="63" t="n">
        <x:v>0</x:v>
      </x:c>
      <x:c r="I174" s="72" t="str">
        <x:f>IF(OR(G174="",G174&lt;1,G174&gt;5),"",CHOOSE(G174,9,6,4,2,1)+2*IF(H174="",0,H174))</x:f>
      </x:c>
      <x:c r="J174" s="63" t="str"/>
    </x:row>
    <x:row r="175">
      <x:c r="A175" s="72" t="n">
        <x:v>3</x:v>
      </x:c>
      <x:c r="B175" s="72" t="str">
        <x:v>G</x:v>
      </x:c>
      <x:c r="C175" s="72" t="n">
        <x:v>1</x:v>
      </x:c>
      <x:c r="D175" s="72" t="n">
        <x:v>31</x:v>
      </x:c>
      <x:c r="E175" s="72" t="str">
        <x:f>IFERROR(IF(VLOOKUP(D175,Giocatori!$A$4:$C$73,2,FALSE)&lt;&gt;"",VLOOKUP(D175,Giocatori!$A$4:$C$73,2,FALSE),"Giocatore "&amp;D175),"Giocatore "&amp;D175)</x:f>
        <x:v>Polacco Tommaso</x:v>
      </x:c>
      <x:c r="F175" s="63" t="str"/>
      <x:c r="G175" s="63" t="str"/>
      <x:c r="H175" s="63" t="n">
        <x:v>0</x:v>
      </x:c>
      <x:c r="I175" s="72" t="str">
        <x:f>IF(OR(G175="",G175&lt;1,G175&gt;5),"",CHOOSE(G175,9,6,4,2,1)+2*IF(H175="",0,H175))</x:f>
      </x:c>
      <x:c r="J175" s="63" t="str"/>
    </x:row>
    <x:row r="176">
      <x:c r="A176" s="72" t="n">
        <x:v>3</x:v>
      </x:c>
      <x:c r="B176" s="72" t="str">
        <x:v>G</x:v>
      </x:c>
      <x:c r="C176" s="72" t="n">
        <x:v>2</x:v>
      </x:c>
      <x:c r="D176" s="72" t="n">
        <x:v>22</x:v>
      </x:c>
      <x:c r="E176" s="72" t="str">
        <x:f>IFERROR(IF(VLOOKUP(D176,Giocatori!$A$4:$C$73,2,FALSE)&lt;&gt;"",VLOOKUP(D176,Giocatori!$A$4:$C$73,2,FALSE),"Giocatore "&amp;D176),"Giocatore "&amp;D176)</x:f>
        <x:v>Napolitano Antonio</x:v>
      </x:c>
      <x:c r="F176" s="63" t="str"/>
      <x:c r="G176" s="63" t="str"/>
      <x:c r="H176" s="63" t="n">
        <x:v>0</x:v>
      </x:c>
      <x:c r="I176" s="72" t="str">
        <x:f>IF(OR(G176="",G176&lt;1,G176&gt;5),"",CHOOSE(G176,9,6,4,2,1)+2*IF(H176="",0,H176))</x:f>
      </x:c>
      <x:c r="J176" s="63" t="str"/>
    </x:row>
    <x:row r="177">
      <x:c r="A177" s="72" t="n">
        <x:v>3</x:v>
      </x:c>
      <x:c r="B177" s="72" t="str">
        <x:v>G</x:v>
      </x:c>
      <x:c r="C177" s="72" t="n">
        <x:v>3</x:v>
      </x:c>
      <x:c r="D177" s="72" t="n">
        <x:v>13</x:v>
      </x:c>
      <x:c r="E177" s="72" t="str">
        <x:f>IFERROR(IF(VLOOKUP(D177,Giocatori!$A$4:$C$73,2,FALSE)&lt;&gt;"",VLOOKUP(D177,Giocatori!$A$4:$C$73,2,FALSE),"Giocatore "&amp;D177),"Giocatore "&amp;D177)</x:f>
        <x:v>Del Vecchio Diego</x:v>
      </x:c>
      <x:c r="F177" s="63" t="str"/>
      <x:c r="G177" s="63" t="str"/>
      <x:c r="H177" s="63" t="n">
        <x:v>0</x:v>
      </x:c>
      <x:c r="I177" s="72" t="str">
        <x:f>IF(OR(G177="",G177&lt;1,G177&gt;5),"",CHOOSE(G177,9,6,4,2,1)+2*IF(H177="",0,H177))</x:f>
      </x:c>
      <x:c r="J177" s="63" t="str"/>
    </x:row>
    <x:row r="178">
      <x:c r="A178" s="72" t="n">
        <x:v>3</x:v>
      </x:c>
      <x:c r="B178" s="72" t="str">
        <x:v>G</x:v>
      </x:c>
      <x:c r="C178" s="72" t="n">
        <x:v>4</x:v>
      </x:c>
      <x:c r="D178" s="72" t="n">
        <x:v>4</x:v>
      </x:c>
      <x:c r="E178" s="72" t="str">
        <x:f>IFERROR(IF(VLOOKUP(D178,Giocatori!$A$4:$C$73,2,FALSE)&lt;&gt;"",VLOOKUP(D178,Giocatori!$A$4:$C$73,2,FALSE),"Giocatore "&amp;D178),"Giocatore "&amp;D178)</x:f>
        <x:v>Annunziata Raffaele</x:v>
      </x:c>
      <x:c r="F178" s="63" t="str"/>
      <x:c r="G178" s="63" t="str"/>
      <x:c r="H178" s="63" t="n">
        <x:v>0</x:v>
      </x:c>
      <x:c r="I178" s="72" t="str">
        <x:f>IF(OR(G178="",G178&lt;1,G178&gt;5),"",CHOOSE(G178,9,6,4,2,1)+2*IF(H178="",0,H178))</x:f>
      </x:c>
      <x:c r="J178" s="63" t="str"/>
    </x:row>
    <x:row r="179">
      <x:c r="A179" s="72" t="n">
        <x:v>3</x:v>
      </x:c>
      <x:c r="B179" s="72" t="str">
        <x:v>G</x:v>
      </x:c>
      <x:c r="C179" s="72" t="n">
        <x:v>5</x:v>
      </x:c>
      <x:c r="D179" s="72" t="n">
        <x:v>65</x:v>
      </x:c>
      <x:c r="E179" s="72" t="str">
        <x:f>IFERROR(IF(VLOOKUP(D179,Giocatori!$A$4:$C$73,2,FALSE)&lt;&gt;"",VLOOKUP(D179,Giocatori!$A$4:$C$73,2,FALSE),"Giocatore "&amp;D179),"Giocatore "&amp;D179)</x:f>
        <x:v>Tufano Michele 3</x:v>
      </x:c>
      <x:c r="F179" s="63" t="str"/>
      <x:c r="G179" s="63" t="str"/>
      <x:c r="H179" s="63" t="n">
        <x:v>0</x:v>
      </x:c>
      <x:c r="I179" s="72" t="str">
        <x:f>IF(OR(G179="",G179&lt;1,G179&gt;5),"",CHOOSE(G179,9,6,4,2,1)+2*IF(H179="",0,H179))</x:f>
      </x:c>
      <x:c r="J179" s="63" t="str"/>
    </x:row>
    <x:row r="180">
      <x:c r="A180" s="72" t="n">
        <x:v>3</x:v>
      </x:c>
      <x:c r="B180" s="72" t="str">
        <x:v>H</x:v>
      </x:c>
      <x:c r="C180" s="72" t="n">
        <x:v>1</x:v>
      </x:c>
      <x:c r="D180" s="72" t="n">
        <x:v>36</x:v>
      </x:c>
      <x:c r="E180" s="72" t="str">
        <x:f>IFERROR(IF(VLOOKUP(D180,Giocatori!$A$4:$C$73,2,FALSE)&lt;&gt;"",VLOOKUP(D180,Giocatori!$A$4:$C$73,2,FALSE),"Giocatore "&amp;D180),"Giocatore "&amp;D180)</x:f>
        <x:v>Moccia Biagio</x:v>
      </x:c>
      <x:c r="F180" s="63" t="str"/>
      <x:c r="G180" s="63" t="str"/>
      <x:c r="H180" s="63" t="n">
        <x:v>0</x:v>
      </x:c>
      <x:c r="I180" s="72" t="str">
        <x:f>IF(OR(G180="",G180&lt;1,G180&gt;5),"",CHOOSE(G180,9,6,4,2,1)+2*IF(H180="",0,H180))</x:f>
      </x:c>
      <x:c r="J180" s="63" t="str"/>
    </x:row>
    <x:row r="181">
      <x:c r="A181" s="72" t="n">
        <x:v>3</x:v>
      </x:c>
      <x:c r="B181" s="72" t="str">
        <x:v>H</x:v>
      </x:c>
      <x:c r="C181" s="72" t="n">
        <x:v>2</x:v>
      </x:c>
      <x:c r="D181" s="72" t="n">
        <x:v>27</x:v>
      </x:c>
      <x:c r="E181" s="72" t="str">
        <x:f>IFERROR(IF(VLOOKUP(D181,Giocatori!$A$4:$C$73,2,FALSE)&lt;&gt;"",VLOOKUP(D181,Giocatori!$A$4:$C$73,2,FALSE),"Giocatore "&amp;D181),"Giocatore "&amp;D181)</x:f>
        <x:v>Napolitano Angelo</x:v>
      </x:c>
      <x:c r="F181" s="63" t="str"/>
      <x:c r="G181" s="63" t="str"/>
      <x:c r="H181" s="63" t="n">
        <x:v>0</x:v>
      </x:c>
      <x:c r="I181" s="72" t="str">
        <x:f>IF(OR(G181="",G181&lt;1,G181&gt;5),"",CHOOSE(G181,9,6,4,2,1)+2*IF(H181="",0,H181))</x:f>
      </x:c>
      <x:c r="J181" s="63" t="str"/>
    </x:row>
    <x:row r="182">
      <x:c r="A182" s="72" t="n">
        <x:v>3</x:v>
      </x:c>
      <x:c r="B182" s="72" t="str">
        <x:v>H</x:v>
      </x:c>
      <x:c r="C182" s="72" t="n">
        <x:v>3</x:v>
      </x:c>
      <x:c r="D182" s="72" t="n">
        <x:v>18</x:v>
      </x:c>
      <x:c r="E182" s="72" t="str">
        <x:f>IFERROR(IF(VLOOKUP(D182,Giocatori!$A$4:$C$73,2,FALSE)&lt;&gt;"",VLOOKUP(D182,Giocatori!$A$4:$C$73,2,FALSE),"Giocatore "&amp;D182),"Giocatore "&amp;D182)</x:f>
        <x:v>Ambrosino Gabriele</x:v>
      </x:c>
      <x:c r="F182" s="63" t="str"/>
      <x:c r="G182" s="63" t="str"/>
      <x:c r="H182" s="63" t="n">
        <x:v>0</x:v>
      </x:c>
      <x:c r="I182" s="72" t="str">
        <x:f>IF(OR(G182="",G182&lt;1,G182&gt;5),"",CHOOSE(G182,9,6,4,2,1)+2*IF(H182="",0,H182))</x:f>
      </x:c>
      <x:c r="J182" s="63" t="str"/>
    </x:row>
    <x:row r="183">
      <x:c r="A183" s="72" t="n">
        <x:v>3</x:v>
      </x:c>
      <x:c r="B183" s="72" t="str">
        <x:v>H</x:v>
      </x:c>
      <x:c r="C183" s="72" t="n">
        <x:v>4</x:v>
      </x:c>
      <x:c r="D183" s="72" t="n">
        <x:v>9</x:v>
      </x:c>
      <x:c r="E183" s="72" t="str">
        <x:f>IFERROR(IF(VLOOKUP(D183,Giocatori!$A$4:$C$73,2,FALSE)&lt;&gt;"",VLOOKUP(D183,Giocatori!$A$4:$C$73,2,FALSE),"Giocatore "&amp;D183),"Giocatore "&amp;D183)</x:f>
        <x:v>Nappo Angelo</x:v>
      </x:c>
      <x:c r="F183" s="63" t="str"/>
      <x:c r="G183" s="63" t="str"/>
      <x:c r="H183" s="63" t="n">
        <x:v>0</x:v>
      </x:c>
      <x:c r="I183" s="72" t="str">
        <x:f>IF(OR(G183="",G183&lt;1,G183&gt;5),"",CHOOSE(G183,9,6,4,2,1)+2*IF(H183="",0,H183))</x:f>
      </x:c>
      <x:c r="J183" s="63" t="str"/>
    </x:row>
    <x:row r="184">
      <x:c r="A184" s="72" t="n">
        <x:v>3</x:v>
      </x:c>
      <x:c r="B184" s="72" t="str">
        <x:v>H</x:v>
      </x:c>
      <x:c r="C184" s="72" t="n">
        <x:v>5</x:v>
      </x:c>
      <x:c r="D184" s="72" t="n">
        <x:v>70</x:v>
      </x:c>
      <x:c r="E184" s="72" t="str">
        <x:f>IFERROR(IF(VLOOKUP(D184,Giocatori!$A$4:$C$73,2,FALSE)&lt;&gt;"",VLOOKUP(D184,Giocatori!$A$4:$C$73,2,FALSE),"Giocatore "&amp;D184),"Giocatore "&amp;D184)</x:f>
        <x:v>Giocatore 70</x:v>
      </x:c>
      <x:c r="F184" s="63" t="str"/>
      <x:c r="G184" s="63" t="str"/>
      <x:c r="H184" s="63" t="n">
        <x:v>0</x:v>
      </x:c>
      <x:c r="I184" s="72" t="str">
        <x:f>IF(OR(G184="",G184&lt;1,G184&gt;5),"",CHOOSE(G184,9,6,4,2,1)+2*IF(H184="",0,H184))</x:f>
      </x:c>
      <x:c r="J184" s="63" t="str"/>
    </x:row>
    <x:row r="185">
      <x:c r="A185" s="72" t="n">
        <x:v>3</x:v>
      </x:c>
      <x:c r="B185" s="72" t="str">
        <x:v>I</x:v>
      </x:c>
      <x:c r="C185" s="72" t="n">
        <x:v>1</x:v>
      </x:c>
      <x:c r="D185" s="72" t="n">
        <x:v>41</x:v>
      </x:c>
      <x:c r="E185" s="72" t="str">
        <x:f>IFERROR(IF(VLOOKUP(D185,Giocatori!$A$4:$C$73,2,FALSE)&lt;&gt;"",VLOOKUP(D185,Giocatori!$A$4:$C$73,2,FALSE),"Giocatore "&amp;D185),"Giocatore "&amp;D185)</x:f>
        <x:v>Nocerino Nunzio</x:v>
      </x:c>
      <x:c r="F185" s="63" t="str"/>
      <x:c r="G185" s="63" t="str"/>
      <x:c r="H185" s="63" t="n">
        <x:v>0</x:v>
      </x:c>
      <x:c r="I185" s="72" t="str">
        <x:f>IF(OR(G185="",G185&lt;1,G185&gt;5),"",CHOOSE(G185,9,6,4,2,1)+2*IF(H185="",0,H185))</x:f>
      </x:c>
      <x:c r="J185" s="63" t="str"/>
    </x:row>
    <x:row r="186">
      <x:c r="A186" s="72" t="n">
        <x:v>3</x:v>
      </x:c>
      <x:c r="B186" s="72" t="str">
        <x:v>I</x:v>
      </x:c>
      <x:c r="C186" s="72" t="n">
        <x:v>2</x:v>
      </x:c>
      <x:c r="D186" s="72" t="n">
        <x:v>32</x:v>
      </x:c>
      <x:c r="E186" s="72" t="str">
        <x:f>IFERROR(IF(VLOOKUP(D186,Giocatori!$A$4:$C$73,2,FALSE)&lt;&gt;"",VLOOKUP(D186,Giocatori!$A$4:$C$73,2,FALSE),"Giocatore "&amp;D186),"Giocatore "&amp;D186)</x:f>
        <x:v>Marotta Pasquale</x:v>
      </x:c>
      <x:c r="F186" s="63" t="str"/>
      <x:c r="G186" s="63" t="str"/>
      <x:c r="H186" s="63" t="n">
        <x:v>0</x:v>
      </x:c>
      <x:c r="I186" s="72" t="str">
        <x:f>IF(OR(G186="",G186&lt;1,G186&gt;5),"",CHOOSE(G186,9,6,4,2,1)+2*IF(H186="",0,H186))</x:f>
      </x:c>
      <x:c r="J186" s="63" t="str"/>
    </x:row>
    <x:row r="187">
      <x:c r="A187" s="72" t="n">
        <x:v>3</x:v>
      </x:c>
      <x:c r="B187" s="72" t="str">
        <x:v>I</x:v>
      </x:c>
      <x:c r="C187" s="72" t="n">
        <x:v>3</x:v>
      </x:c>
      <x:c r="D187" s="72" t="n">
        <x:v>23</x:v>
      </x:c>
      <x:c r="E187" s="72" t="str">
        <x:f>IFERROR(IF(VLOOKUP(D187,Giocatori!$A$4:$C$73,2,FALSE)&lt;&gt;"",VLOOKUP(D187,Giocatori!$A$4:$C$73,2,FALSE),"Giocatore "&amp;D187),"Giocatore "&amp;D187)</x:f>
        <x:v>Notaro Massimo</x:v>
      </x:c>
      <x:c r="F187" s="63" t="str"/>
      <x:c r="G187" s="63" t="str"/>
      <x:c r="H187" s="63" t="n">
        <x:v>0</x:v>
      </x:c>
      <x:c r="I187" s="72" t="str">
        <x:f>IF(OR(G187="",G187&lt;1,G187&gt;5),"",CHOOSE(G187,9,6,4,2,1)+2*IF(H187="",0,H187))</x:f>
      </x:c>
      <x:c r="J187" s="63" t="str"/>
    </x:row>
    <x:row r="188">
      <x:c r="A188" s="72" t="n">
        <x:v>3</x:v>
      </x:c>
      <x:c r="B188" s="72" t="str">
        <x:v>I</x:v>
      </x:c>
      <x:c r="C188" s="72" t="n">
        <x:v>4</x:v>
      </x:c>
      <x:c r="D188" s="72" t="n">
        <x:v>14</x:v>
      </x:c>
      <x:c r="E188" s="72" t="str">
        <x:f>IFERROR(IF(VLOOKUP(D188,Giocatori!$A$4:$C$73,2,FALSE)&lt;&gt;"",VLOOKUP(D188,Giocatori!$A$4:$C$73,2,FALSE),"Giocatore "&amp;D188),"Giocatore "&amp;D188)</x:f>
        <x:v>Beracci Lucio</x:v>
      </x:c>
      <x:c r="F188" s="63" t="str"/>
      <x:c r="G188" s="63" t="str"/>
      <x:c r="H188" s="63" t="n">
        <x:v>0</x:v>
      </x:c>
      <x:c r="I188" s="72" t="str">
        <x:f>IF(OR(G188="",G188&lt;1,G188&gt;5),"",CHOOSE(G188,9,6,4,2,1)+2*IF(H188="",0,H188))</x:f>
      </x:c>
      <x:c r="J188" s="63" t="str"/>
    </x:row>
    <x:row r="189">
      <x:c r="A189" s="72" t="n">
        <x:v>3</x:v>
      </x:c>
      <x:c r="B189" s="72" t="str">
        <x:v>I</x:v>
      </x:c>
      <x:c r="C189" s="72" t="n">
        <x:v>5</x:v>
      </x:c>
      <x:c r="D189" s="72" t="n">
        <x:v>5</x:v>
      </x:c>
      <x:c r="E189" s="72" t="str">
        <x:f>IFERROR(IF(VLOOKUP(D189,Giocatori!$A$4:$C$73,2,FALSE)&lt;&gt;"",VLOOKUP(D189,Giocatori!$A$4:$C$73,2,FALSE),"Giocatore "&amp;D189),"Giocatore "&amp;D189)</x:f>
        <x:v>La Marca Pasquale</x:v>
      </x:c>
      <x:c r="F189" s="63" t="str"/>
      <x:c r="G189" s="63" t="str"/>
      <x:c r="H189" s="63" t="n">
        <x:v>0</x:v>
      </x:c>
      <x:c r="I189" s="72" t="str">
        <x:f>IF(OR(G189="",G189&lt;1,G189&gt;5),"",CHOOSE(G189,9,6,4,2,1)+2*IF(H189="",0,H189))</x:f>
      </x:c>
      <x:c r="J189" s="63" t="str"/>
    </x:row>
    <x:row r="190">
      <x:c r="A190" s="72" t="n">
        <x:v>3</x:v>
      </x:c>
      <x:c r="B190" s="72" t="str">
        <x:v>J</x:v>
      </x:c>
      <x:c r="C190" s="72" t="n">
        <x:v>1</x:v>
      </x:c>
      <x:c r="D190" s="72" t="n">
        <x:v>46</x:v>
      </x:c>
      <x:c r="E190" s="72" t="str">
        <x:f>IFERROR(IF(VLOOKUP(D190,Giocatori!$A$4:$C$73,2,FALSE)&lt;&gt;"",VLOOKUP(D190,Giocatori!$A$4:$C$73,2,FALSE),"Giocatore "&amp;D190),"Giocatore "&amp;D190)</x:f>
        <x:v>Cafarelli Manolo</x:v>
      </x:c>
      <x:c r="F190" s="63" t="str"/>
      <x:c r="G190" s="63" t="str"/>
      <x:c r="H190" s="63" t="n">
        <x:v>0</x:v>
      </x:c>
      <x:c r="I190" s="72" t="str">
        <x:f>IF(OR(G190="",G190&lt;1,G190&gt;5),"",CHOOSE(G190,9,6,4,2,1)+2*IF(H190="",0,H190))</x:f>
      </x:c>
      <x:c r="J190" s="63" t="str"/>
    </x:row>
    <x:row r="191">
      <x:c r="A191" s="72" t="n">
        <x:v>3</x:v>
      </x:c>
      <x:c r="B191" s="72" t="str">
        <x:v>J</x:v>
      </x:c>
      <x:c r="C191" s="72" t="n">
        <x:v>2</x:v>
      </x:c>
      <x:c r="D191" s="72" t="n">
        <x:v>37</x:v>
      </x:c>
      <x:c r="E191" s="72" t="str">
        <x:f>IFERROR(IF(VLOOKUP(D191,Giocatori!$A$4:$C$73,2,FALSE)&lt;&gt;"",VLOOKUP(D191,Giocatori!$A$4:$C$73,2,FALSE),"Giocatore "&amp;D191),"Giocatore "&amp;D191)</x:f>
        <x:v>Spallone Carmine</x:v>
      </x:c>
      <x:c r="F191" s="63" t="str"/>
      <x:c r="G191" s="63" t="str"/>
      <x:c r="H191" s="63" t="n">
        <x:v>0</x:v>
      </x:c>
      <x:c r="I191" s="72" t="str">
        <x:f>IF(OR(G191="",G191&lt;1,G191&gt;5),"",CHOOSE(G191,9,6,4,2,1)+2*IF(H191="",0,H191))</x:f>
      </x:c>
      <x:c r="J191" s="63" t="str"/>
    </x:row>
    <x:row r="192">
      <x:c r="A192" s="72" t="n">
        <x:v>3</x:v>
      </x:c>
      <x:c r="B192" s="72" t="str">
        <x:v>J</x:v>
      </x:c>
      <x:c r="C192" s="72" t="n">
        <x:v>3</x:v>
      </x:c>
      <x:c r="D192" s="72" t="n">
        <x:v>28</x:v>
      </x:c>
      <x:c r="E192" s="72" t="str">
        <x:f>IFERROR(IF(VLOOKUP(D192,Giocatori!$A$4:$C$73,2,FALSE)&lt;&gt;"",VLOOKUP(D192,Giocatori!$A$4:$C$73,2,FALSE),"Giocatore "&amp;D192),"Giocatore "&amp;D192)</x:f>
        <x:v>Fontanella Carmine</x:v>
      </x:c>
      <x:c r="F192" s="63" t="str"/>
      <x:c r="G192" s="63" t="str"/>
      <x:c r="H192" s="63" t="n">
        <x:v>0</x:v>
      </x:c>
      <x:c r="I192" s="72" t="str">
        <x:f>IF(OR(G192="",G192&lt;1,G192&gt;5),"",CHOOSE(G192,9,6,4,2,1)+2*IF(H192="",0,H192))</x:f>
      </x:c>
      <x:c r="J192" s="63" t="str"/>
    </x:row>
    <x:row r="193">
      <x:c r="A193" s="72" t="n">
        <x:v>3</x:v>
      </x:c>
      <x:c r="B193" s="72" t="str">
        <x:v>J</x:v>
      </x:c>
      <x:c r="C193" s="72" t="n">
        <x:v>4</x:v>
      </x:c>
      <x:c r="D193" s="72" t="n">
        <x:v>19</x:v>
      </x:c>
      <x:c r="E193" s="72" t="str">
        <x:f>IFERROR(IF(VLOOKUP(D193,Giocatori!$A$4:$C$73,2,FALSE)&lt;&gt;"",VLOOKUP(D193,Giocatori!$A$4:$C$73,2,FALSE),"Giocatore "&amp;D193),"Giocatore "&amp;D193)</x:f>
        <x:v>Strocchia Franco</x:v>
      </x:c>
      <x:c r="F193" s="63" t="str"/>
      <x:c r="G193" s="63" t="str"/>
      <x:c r="H193" s="63" t="n">
        <x:v>0</x:v>
      </x:c>
      <x:c r="I193" s="72" t="str">
        <x:f>IF(OR(G193="",G193&lt;1,G193&gt;5),"",CHOOSE(G193,9,6,4,2,1)+2*IF(H193="",0,H193))</x:f>
      </x:c>
      <x:c r="J193" s="63" t="str"/>
    </x:row>
    <x:row r="194">
      <x:c r="A194" s="72" t="n">
        <x:v>3</x:v>
      </x:c>
      <x:c r="B194" s="72" t="str">
        <x:v>J</x:v>
      </x:c>
      <x:c r="C194" s="72" t="n">
        <x:v>5</x:v>
      </x:c>
      <x:c r="D194" s="72" t="n">
        <x:v>10</x:v>
      </x:c>
      <x:c r="E194" s="72" t="str">
        <x:f>IFERROR(IF(VLOOKUP(D194,Giocatori!$A$4:$C$73,2,FALSE)&lt;&gt;"",VLOOKUP(D194,Giocatori!$A$4:$C$73,2,FALSE),"Giocatore "&amp;D194),"Giocatore "&amp;D194)</x:f>
        <x:v>Cavallaro Erasmo</x:v>
      </x:c>
      <x:c r="F194" s="63" t="str"/>
      <x:c r="G194" s="63" t="str"/>
      <x:c r="H194" s="63" t="n">
        <x:v>0</x:v>
      </x:c>
      <x:c r="I194" s="72" t="str">
        <x:f>IF(OR(G194="",G194&lt;1,G194&gt;5),"",CHOOSE(G194,9,6,4,2,1)+2*IF(H194="",0,H194))</x:f>
      </x:c>
      <x:c r="J194" s="63" t="str"/>
    </x:row>
    <x:row r="195">
      <x:c r="A195" s="72" t="n">
        <x:v>3</x:v>
      </x:c>
      <x:c r="B195" s="72" t="str">
        <x:v>K</x:v>
      </x:c>
      <x:c r="C195" s="72" t="n">
        <x:v>1</x:v>
      </x:c>
      <x:c r="D195" s="72" t="n">
        <x:v>51</x:v>
      </x:c>
      <x:c r="E195" s="72" t="str">
        <x:f>IFERROR(IF(VLOOKUP(D195,Giocatori!$A$4:$C$73,2,FALSE)&lt;&gt;"",VLOOKUP(D195,Giocatori!$A$4:$C$73,2,FALSE),"Giocatore "&amp;D195),"Giocatore "&amp;D195)</x:f>
        <x:v>Domenico</x:v>
      </x:c>
      <x:c r="F195" s="63" t="str"/>
      <x:c r="G195" s="63" t="str"/>
      <x:c r="H195" s="63" t="n">
        <x:v>0</x:v>
      </x:c>
      <x:c r="I195" s="72" t="str">
        <x:f>IF(OR(G195="",G195&lt;1,G195&gt;5),"",CHOOSE(G195,9,6,4,2,1)+2*IF(H195="",0,H195))</x:f>
      </x:c>
      <x:c r="J195" s="63" t="str"/>
    </x:row>
    <x:row r="196">
      <x:c r="A196" s="72" t="n">
        <x:v>3</x:v>
      </x:c>
      <x:c r="B196" s="72" t="str">
        <x:v>K</x:v>
      </x:c>
      <x:c r="C196" s="72" t="n">
        <x:v>2</x:v>
      </x:c>
      <x:c r="D196" s="72" t="n">
        <x:v>42</x:v>
      </x:c>
      <x:c r="E196" s="72" t="str">
        <x:f>IFERROR(IF(VLOOKUP(D196,Giocatori!$A$4:$C$73,2,FALSE)&lt;&gt;"",VLOOKUP(D196,Giocatori!$A$4:$C$73,2,FALSE),"Giocatore "&amp;D196),"Giocatore "&amp;D196)</x:f>
        <x:v>Guerriero Giuseppe</x:v>
      </x:c>
      <x:c r="F196" s="63" t="str"/>
      <x:c r="G196" s="63" t="str"/>
      <x:c r="H196" s="63" t="n">
        <x:v>0</x:v>
      </x:c>
      <x:c r="I196" s="72" t="str">
        <x:f>IF(OR(G196="",G196&lt;1,G196&gt;5),"",CHOOSE(G196,9,6,4,2,1)+2*IF(H196="",0,H196))</x:f>
      </x:c>
      <x:c r="J196" s="63" t="str"/>
    </x:row>
    <x:row r="197">
      <x:c r="A197" s="72" t="n">
        <x:v>3</x:v>
      </x:c>
      <x:c r="B197" s="72" t="str">
        <x:v>K</x:v>
      </x:c>
      <x:c r="C197" s="72" t="n">
        <x:v>3</x:v>
      </x:c>
      <x:c r="D197" s="72" t="n">
        <x:v>33</x:v>
      </x:c>
      <x:c r="E197" s="72" t="str">
        <x:f>IFERROR(IF(VLOOKUP(D197,Giocatori!$A$4:$C$73,2,FALSE)&lt;&gt;"",VLOOKUP(D197,Giocatori!$A$4:$C$73,2,FALSE),"Giocatore "&amp;D197),"Giocatore "&amp;D197)</x:f>
        <x:v>Franzese Francesco</x:v>
      </x:c>
      <x:c r="F197" s="63" t="str"/>
      <x:c r="G197" s="63" t="str"/>
      <x:c r="H197" s="63" t="n">
        <x:v>0</x:v>
      </x:c>
      <x:c r="I197" s="72" t="str">
        <x:f>IF(OR(G197="",G197&lt;1,G197&gt;5),"",CHOOSE(G197,9,6,4,2,1)+2*IF(H197="",0,H197))</x:f>
      </x:c>
      <x:c r="J197" s="63" t="str"/>
    </x:row>
    <x:row r="198">
      <x:c r="A198" s="72" t="n">
        <x:v>3</x:v>
      </x:c>
      <x:c r="B198" s="72" t="str">
        <x:v>K</x:v>
      </x:c>
      <x:c r="C198" s="72" t="n">
        <x:v>4</x:v>
      </x:c>
      <x:c r="D198" s="72" t="n">
        <x:v>24</x:v>
      </x:c>
      <x:c r="E198" s="72" t="str">
        <x:f>IFERROR(IF(VLOOKUP(D198,Giocatori!$A$4:$C$73,2,FALSE)&lt;&gt;"",VLOOKUP(D198,Giocatori!$A$4:$C$73,2,FALSE),"Giocatore "&amp;D198),"Giocatore "&amp;D198)</x:f>
        <x:v>Pierro Giuseppe</x:v>
      </x:c>
      <x:c r="F198" s="63" t="str"/>
      <x:c r="G198" s="63" t="str"/>
      <x:c r="H198" s="63" t="n">
        <x:v>0</x:v>
      </x:c>
      <x:c r="I198" s="72" t="str">
        <x:f>IF(OR(G198="",G198&lt;1,G198&gt;5),"",CHOOSE(G198,9,6,4,2,1)+2*IF(H198="",0,H198))</x:f>
      </x:c>
      <x:c r="J198" s="63" t="str"/>
    </x:row>
    <x:row r="199">
      <x:c r="A199" s="72" t="n">
        <x:v>3</x:v>
      </x:c>
      <x:c r="B199" s="72" t="str">
        <x:v>K</x:v>
      </x:c>
      <x:c r="C199" s="72" t="n">
        <x:v>5</x:v>
      </x:c>
      <x:c r="D199" s="72" t="n">
        <x:v>15</x:v>
      </x:c>
      <x:c r="E199" s="72" t="str">
        <x:f>IFERROR(IF(VLOOKUP(D199,Giocatori!$A$4:$C$73,2,FALSE)&lt;&gt;"",VLOOKUP(D199,Giocatori!$A$4:$C$73,2,FALSE),"Giocatore "&amp;D199),"Giocatore "&amp;D199)</x:f>
        <x:v>De Falco Andrea</x:v>
      </x:c>
      <x:c r="F199" s="63" t="str"/>
      <x:c r="G199" s="63" t="str"/>
      <x:c r="H199" s="63" t="n">
        <x:v>0</x:v>
      </x:c>
      <x:c r="I199" s="72" t="str">
        <x:f>IF(OR(G199="",G199&lt;1,G199&gt;5),"",CHOOSE(G199,9,6,4,2,1)+2*IF(H199="",0,H199))</x:f>
      </x:c>
      <x:c r="J199" s="63" t="str"/>
    </x:row>
    <x:row r="200">
      <x:c r="A200" s="72" t="n">
        <x:v>3</x:v>
      </x:c>
      <x:c r="B200" s="72" t="str">
        <x:v>L</x:v>
      </x:c>
      <x:c r="C200" s="72" t="n">
        <x:v>1</x:v>
      </x:c>
      <x:c r="D200" s="72" t="n">
        <x:v>56</x:v>
      </x:c>
      <x:c r="E200" s="72" t="str">
        <x:f>IFERROR(IF(VLOOKUP(D200,Giocatori!$A$4:$C$73,2,FALSE)&lt;&gt;"",VLOOKUP(D200,Giocatori!$A$4:$C$73,2,FALSE),"Giocatore "&amp;D200),"Giocatore "&amp;D200)</x:f>
        <x:v>Oreste</x:v>
      </x:c>
      <x:c r="F200" s="63" t="str"/>
      <x:c r="G200" s="63" t="str"/>
      <x:c r="H200" s="63" t="n">
        <x:v>0</x:v>
      </x:c>
      <x:c r="I200" s="72" t="str">
        <x:f>IF(OR(G200="",G200&lt;1,G200&gt;5),"",CHOOSE(G200,9,6,4,2,1)+2*IF(H200="",0,H200))</x:f>
      </x:c>
      <x:c r="J200" s="63" t="str"/>
    </x:row>
    <x:row r="201">
      <x:c r="A201" s="72" t="n">
        <x:v>3</x:v>
      </x:c>
      <x:c r="B201" s="72" t="str">
        <x:v>L</x:v>
      </x:c>
      <x:c r="C201" s="72" t="n">
        <x:v>2</x:v>
      </x:c>
      <x:c r="D201" s="72" t="n">
        <x:v>47</x:v>
      </x:c>
      <x:c r="E201" s="72" t="str">
        <x:f>IFERROR(IF(VLOOKUP(D201,Giocatori!$A$4:$C$73,2,FALSE)&lt;&gt;"",VLOOKUP(D201,Giocatori!$A$4:$C$73,2,FALSE),"Giocatore "&amp;D201),"Giocatore "&amp;D201)</x:f>
        <x:v>Casoria Felice</x:v>
      </x:c>
      <x:c r="F201" s="63" t="str"/>
      <x:c r="G201" s="63" t="str"/>
      <x:c r="H201" s="63" t="n">
        <x:v>0</x:v>
      </x:c>
      <x:c r="I201" s="72" t="str">
        <x:f>IF(OR(G201="",G201&lt;1,G201&gt;5),"",CHOOSE(G201,9,6,4,2,1)+2*IF(H201="",0,H201))</x:f>
      </x:c>
      <x:c r="J201" s="63" t="str"/>
    </x:row>
    <x:row r="202">
      <x:c r="A202" s="72" t="n">
        <x:v>3</x:v>
      </x:c>
      <x:c r="B202" s="72" t="str">
        <x:v>L</x:v>
      </x:c>
      <x:c r="C202" s="72" t="n">
        <x:v>3</x:v>
      </x:c>
      <x:c r="D202" s="72" t="n">
        <x:v>38</x:v>
      </x:c>
      <x:c r="E202" s="72" t="str">
        <x:f>IFERROR(IF(VLOOKUP(D202,Giocatori!$A$4:$C$73,2,FALSE)&lt;&gt;"",VLOOKUP(D202,Giocatori!$A$4:$C$73,2,FALSE),"Giocatore "&amp;D202),"Giocatore "&amp;D202)</x:f>
        <x:v>Mauro Nicola</x:v>
      </x:c>
      <x:c r="F202" s="63" t="str"/>
      <x:c r="G202" s="63" t="str"/>
      <x:c r="H202" s="63" t="n">
        <x:v>0</x:v>
      </x:c>
      <x:c r="I202" s="72" t="str">
        <x:f>IF(OR(G202="",G202&lt;1,G202&gt;5),"",CHOOSE(G202,9,6,4,2,1)+2*IF(H202="",0,H202))</x:f>
      </x:c>
      <x:c r="J202" s="63" t="str"/>
    </x:row>
    <x:row r="203">
      <x:c r="A203" s="72" t="n">
        <x:v>3</x:v>
      </x:c>
      <x:c r="B203" s="72" t="str">
        <x:v>L</x:v>
      </x:c>
      <x:c r="C203" s="72" t="n">
        <x:v>4</x:v>
      </x:c>
      <x:c r="D203" s="72" t="n">
        <x:v>29</x:v>
      </x:c>
      <x:c r="E203" s="72" t="str">
        <x:f>IFERROR(IF(VLOOKUP(D203,Giocatori!$A$4:$C$73,2,FALSE)&lt;&gt;"",VLOOKUP(D203,Giocatori!$A$4:$C$73,2,FALSE),"Giocatore "&amp;D203),"Giocatore "&amp;D203)</x:f>
        <x:v>Nappi Nestore</x:v>
      </x:c>
      <x:c r="F203" s="63" t="str"/>
      <x:c r="G203" s="63" t="str"/>
      <x:c r="H203" s="63" t="n">
        <x:v>0</x:v>
      </x:c>
      <x:c r="I203" s="72" t="str">
        <x:f>IF(OR(G203="",G203&lt;1,G203&gt;5),"",CHOOSE(G203,9,6,4,2,1)+2*IF(H203="",0,H203))</x:f>
      </x:c>
      <x:c r="J203" s="63" t="str"/>
    </x:row>
    <x:row r="204">
      <x:c r="A204" s="72" t="n">
        <x:v>3</x:v>
      </x:c>
      <x:c r="B204" s="72" t="str">
        <x:v>L</x:v>
      </x:c>
      <x:c r="C204" s="72" t="n">
        <x:v>5</x:v>
      </x:c>
      <x:c r="D204" s="72" t="n">
        <x:v>20</x:v>
      </x:c>
      <x:c r="E204" s="72" t="str">
        <x:f>IFERROR(IF(VLOOKUP(D204,Giocatori!$A$4:$C$73,2,FALSE)&lt;&gt;"",VLOOKUP(D204,Giocatori!$A$4:$C$73,2,FALSE),"Giocatore "&amp;D204),"Giocatore "&amp;D204)</x:f>
        <x:v>Morelli Carmine</x:v>
      </x:c>
      <x:c r="F204" s="63" t="str"/>
      <x:c r="G204" s="63" t="str"/>
      <x:c r="H204" s="63" t="n">
        <x:v>0</x:v>
      </x:c>
      <x:c r="I204" s="72" t="str">
        <x:f>IF(OR(G204="",G204&lt;1,G204&gt;5),"",CHOOSE(G204,9,6,4,2,1)+2*IF(H204="",0,H204))</x:f>
      </x:c>
      <x:c r="J204" s="63" t="str"/>
    </x:row>
    <x:row r="205">
      <x:c r="A205" s="72" t="n">
        <x:v>3</x:v>
      </x:c>
      <x:c r="B205" s="72" t="str">
        <x:v>M</x:v>
      </x:c>
      <x:c r="C205" s="72" t="n">
        <x:v>1</x:v>
      </x:c>
      <x:c r="D205" s="72" t="n">
        <x:v>61</x:v>
      </x:c>
      <x:c r="E205" s="72" t="str">
        <x:f>IFERROR(IF(VLOOKUP(D205,Giocatori!$A$4:$C$73,2,FALSE)&lt;&gt;"",VLOOKUP(D205,Giocatori!$A$4:$C$73,2,FALSE),"Giocatore "&amp;D205),"Giocatore "&amp;D205)</x:f>
        <x:v>Mauro Cantice</x:v>
      </x:c>
      <x:c r="F205" s="63" t="str"/>
      <x:c r="G205" s="63" t="str"/>
      <x:c r="H205" s="63" t="n">
        <x:v>0</x:v>
      </x:c>
      <x:c r="I205" s="72" t="str">
        <x:f>IF(OR(G205="",G205&lt;1,G205&gt;5),"",CHOOSE(G205,9,6,4,2,1)+2*IF(H205="",0,H205))</x:f>
      </x:c>
      <x:c r="J205" s="63" t="str"/>
    </x:row>
    <x:row r="206">
      <x:c r="A206" s="72" t="n">
        <x:v>3</x:v>
      </x:c>
      <x:c r="B206" s="72" t="str">
        <x:v>M</x:v>
      </x:c>
      <x:c r="C206" s="72" t="n">
        <x:v>2</x:v>
      </x:c>
      <x:c r="D206" s="72" t="n">
        <x:v>52</x:v>
      </x:c>
      <x:c r="E206" s="72" t="str">
        <x:f>IFERROR(IF(VLOOKUP(D206,Giocatori!$A$4:$C$73,2,FALSE)&lt;&gt;"",VLOOKUP(D206,Giocatori!$A$4:$C$73,2,FALSE),"Giocatore "&amp;D206),"Giocatore "&amp;D206)</x:f>
        <x:v>Montanera Michele</x:v>
      </x:c>
      <x:c r="F206" s="63" t="str"/>
      <x:c r="G206" s="63" t="str"/>
      <x:c r="H206" s="63" t="n">
        <x:v>0</x:v>
      </x:c>
      <x:c r="I206" s="72" t="str">
        <x:f>IF(OR(G206="",G206&lt;1,G206&gt;5),"",CHOOSE(G206,9,6,4,2,1)+2*IF(H206="",0,H206))</x:f>
      </x:c>
      <x:c r="J206" s="63" t="str"/>
    </x:row>
    <x:row r="207">
      <x:c r="A207" s="72" t="n">
        <x:v>3</x:v>
      </x:c>
      <x:c r="B207" s="72" t="str">
        <x:v>M</x:v>
      </x:c>
      <x:c r="C207" s="72" t="n">
        <x:v>3</x:v>
      </x:c>
      <x:c r="D207" s="72" t="n">
        <x:v>43</x:v>
      </x:c>
      <x:c r="E207" s="72" t="str">
        <x:f>IFERROR(IF(VLOOKUP(D207,Giocatori!$A$4:$C$73,2,FALSE)&lt;&gt;"",VLOOKUP(D207,Giocatori!$A$4:$C$73,2,FALSE),"Giocatore "&amp;D207),"Giocatore "&amp;D207)</x:f>
        <x:v>Ruotolo Sabatino</x:v>
      </x:c>
      <x:c r="F207" s="63" t="str"/>
      <x:c r="G207" s="63" t="str"/>
      <x:c r="H207" s="63" t="n">
        <x:v>0</x:v>
      </x:c>
      <x:c r="I207" s="72" t="str">
        <x:f>IF(OR(G207="",G207&lt;1,G207&gt;5),"",CHOOSE(G207,9,6,4,2,1)+2*IF(H207="",0,H207))</x:f>
      </x:c>
      <x:c r="J207" s="63" t="str"/>
    </x:row>
    <x:row r="208">
      <x:c r="A208" s="72" t="n">
        <x:v>3</x:v>
      </x:c>
      <x:c r="B208" s="72" t="str">
        <x:v>M</x:v>
      </x:c>
      <x:c r="C208" s="72" t="n">
        <x:v>4</x:v>
      </x:c>
      <x:c r="D208" s="72" t="n">
        <x:v>34</x:v>
      </x:c>
      <x:c r="E208" s="72" t="str">
        <x:f>IFERROR(IF(VLOOKUP(D208,Giocatori!$A$4:$C$73,2,FALSE)&lt;&gt;"",VLOOKUP(D208,Giocatori!$A$4:$C$73,2,FALSE),"Giocatore "&amp;D208),"Giocatore "&amp;D208)</x:f>
        <x:v>Fontanella Giuseppe</x:v>
      </x:c>
      <x:c r="F208" s="63" t="str"/>
      <x:c r="G208" s="63" t="str"/>
      <x:c r="H208" s="63" t="n">
        <x:v>0</x:v>
      </x:c>
      <x:c r="I208" s="72" t="str">
        <x:f>IF(OR(G208="",G208&lt;1,G208&gt;5),"",CHOOSE(G208,9,6,4,2,1)+2*IF(H208="",0,H208))</x:f>
      </x:c>
      <x:c r="J208" s="63" t="str"/>
    </x:row>
    <x:row r="209">
      <x:c r="A209" s="72" t="n">
        <x:v>3</x:v>
      </x:c>
      <x:c r="B209" s="72" t="str">
        <x:v>M</x:v>
      </x:c>
      <x:c r="C209" s="72" t="n">
        <x:v>5</x:v>
      </x:c>
      <x:c r="D209" s="72" t="n">
        <x:v>25</x:v>
      </x:c>
      <x:c r="E209" s="72" t="str">
        <x:f>IFERROR(IF(VLOOKUP(D209,Giocatori!$A$4:$C$73,2,FALSE)&lt;&gt;"",VLOOKUP(D209,Giocatori!$A$4:$C$73,2,FALSE),"Giocatore "&amp;D209),"Giocatore "&amp;D209)</x:f>
        <x:v>Giugliano Francesco</x:v>
      </x:c>
      <x:c r="F209" s="63" t="str"/>
      <x:c r="G209" s="63" t="str"/>
      <x:c r="H209" s="63" t="n">
        <x:v>0</x:v>
      </x:c>
      <x:c r="I209" s="72" t="str">
        <x:f>IF(OR(G209="",G209&lt;1,G209&gt;5),"",CHOOSE(G209,9,6,4,2,1)+2*IF(H209="",0,H209))</x:f>
      </x:c>
      <x:c r="J209" s="63" t="str"/>
    </x:row>
    <x:row r="210">
      <x:c r="A210" s="72" t="n">
        <x:v>3</x:v>
      </x:c>
      <x:c r="B210" s="72" t="str">
        <x:v>N</x:v>
      </x:c>
      <x:c r="C210" s="72" t="n">
        <x:v>1</x:v>
      </x:c>
      <x:c r="D210" s="72" t="n">
        <x:v>66</x:v>
      </x:c>
      <x:c r="E210" s="72" t="str">
        <x:f>IFERROR(IF(VLOOKUP(D210,Giocatori!$A$4:$C$73,2,FALSE)&lt;&gt;"",VLOOKUP(D210,Giocatori!$A$4:$C$73,2,FALSE),"Giocatore "&amp;D210),"Giocatore "&amp;D210)</x:f>
        <x:v>Giocatore 66</x:v>
      </x:c>
      <x:c r="F210" s="63" t="str"/>
      <x:c r="G210" s="63" t="str"/>
      <x:c r="H210" s="63" t="n">
        <x:v>0</x:v>
      </x:c>
      <x:c r="I210" s="72" t="str">
        <x:f>IF(OR(G210="",G210&lt;1,G210&gt;5),"",CHOOSE(G210,9,6,4,2,1)+2*IF(H210="",0,H210))</x:f>
      </x:c>
      <x:c r="J210" s="63" t="str"/>
    </x:row>
    <x:row r="211">
      <x:c r="A211" s="72" t="n">
        <x:v>3</x:v>
      </x:c>
      <x:c r="B211" s="72" t="str">
        <x:v>N</x:v>
      </x:c>
      <x:c r="C211" s="72" t="n">
        <x:v>2</x:v>
      </x:c>
      <x:c r="D211" s="72" t="n">
        <x:v>57</x:v>
      </x:c>
      <x:c r="E211" s="72" t="str">
        <x:f>IFERROR(IF(VLOOKUP(D211,Giocatori!$A$4:$C$73,2,FALSE)&lt;&gt;"",VLOOKUP(D211,Giocatori!$A$4:$C$73,2,FALSE),"Giocatore "&amp;D211),"Giocatore "&amp;D211)</x:f>
        <x:v>Sirico Crescenzo</x:v>
      </x:c>
      <x:c r="F211" s="63" t="str"/>
      <x:c r="G211" s="63" t="str"/>
      <x:c r="H211" s="63" t="n">
        <x:v>0</x:v>
      </x:c>
      <x:c r="I211" s="72" t="str">
        <x:f>IF(OR(G211="",G211&lt;1,G211&gt;5),"",CHOOSE(G211,9,6,4,2,1)+2*IF(H211="",0,H211))</x:f>
      </x:c>
      <x:c r="J211" s="63" t="str"/>
    </x:row>
    <x:row r="212">
      <x:c r="A212" s="72" t="n">
        <x:v>3</x:v>
      </x:c>
      <x:c r="B212" s="72" t="str">
        <x:v>N</x:v>
      </x:c>
      <x:c r="C212" s="72" t="n">
        <x:v>3</x:v>
      </x:c>
      <x:c r="D212" s="72" t="n">
        <x:v>48</x:v>
      </x:c>
      <x:c r="E212" s="72" t="str">
        <x:f>IFERROR(IF(VLOOKUP(D212,Giocatori!$A$4:$C$73,2,FALSE)&lt;&gt;"",VLOOKUP(D212,Giocatori!$A$4:$C$73,2,FALSE),"Giocatore "&amp;D212),"Giocatore "&amp;D212)</x:f>
        <x:v>Nspolitano Carlo</x:v>
      </x:c>
      <x:c r="F212" s="63" t="str"/>
      <x:c r="G212" s="63" t="str"/>
      <x:c r="H212" s="63" t="n">
        <x:v>0</x:v>
      </x:c>
      <x:c r="I212" s="72" t="str">
        <x:f>IF(OR(G212="",G212&lt;1,G212&gt;5),"",CHOOSE(G212,9,6,4,2,1)+2*IF(H212="",0,H212))</x:f>
      </x:c>
      <x:c r="J212" s="63" t="str"/>
    </x:row>
    <x:row r="213">
      <x:c r="A213" s="72" t="n">
        <x:v>3</x:v>
      </x:c>
      <x:c r="B213" s="72" t="str">
        <x:v>N</x:v>
      </x:c>
      <x:c r="C213" s="72" t="n">
        <x:v>4</x:v>
      </x:c>
      <x:c r="D213" s="72" t="n">
        <x:v>39</x:v>
      </x:c>
      <x:c r="E213" s="72" t="str">
        <x:f>IFERROR(IF(VLOOKUP(D213,Giocatori!$A$4:$C$73,2,FALSE)&lt;&gt;"",VLOOKUP(D213,Giocatori!$A$4:$C$73,2,FALSE),"Giocatore "&amp;D213),"Giocatore "&amp;D213)</x:f>
        <x:v>Ambrosino Lello</x:v>
      </x:c>
      <x:c r="F213" s="63" t="str"/>
      <x:c r="G213" s="63" t="str"/>
      <x:c r="H213" s="63" t="n">
        <x:v>0</x:v>
      </x:c>
      <x:c r="I213" s="72" t="str">
        <x:f>IF(OR(G213="",G213&lt;1,G213&gt;5),"",CHOOSE(G213,9,6,4,2,1)+2*IF(H213="",0,H213))</x:f>
      </x:c>
      <x:c r="J213" s="63" t="str"/>
    </x:row>
    <x:row r="214">
      <x:c r="A214" s="72" t="n">
        <x:v>3</x:v>
      </x:c>
      <x:c r="B214" s="72" t="str">
        <x:v>N</x:v>
      </x:c>
      <x:c r="C214" s="72" t="n">
        <x:v>5</x:v>
      </x:c>
      <x:c r="D214" s="72" t="n">
        <x:v>30</x:v>
      </x:c>
      <x:c r="E214" s="72" t="str">
        <x:f>IFERROR(IF(VLOOKUP(D214,Giocatori!$A$4:$C$73,2,FALSE)&lt;&gt;"",VLOOKUP(D214,Giocatori!$A$4:$C$73,2,FALSE),"Giocatore "&amp;D214),"Giocatore "&amp;D214)</x:f>
        <x:v>Tufano Giuseppe</x:v>
      </x:c>
      <x:c r="F214" s="63" t="str"/>
      <x:c r="G214" s="63" t="str"/>
      <x:c r="H214" s="63" t="n">
        <x:v>0</x:v>
      </x:c>
      <x:c r="I214" s="72" t="str">
        <x:f>IF(OR(G214="",G214&lt;1,G214&gt;5),"",CHOOSE(G214,9,6,4,2,1)+2*IF(H214="",0,H214))</x:f>
      </x:c>
      <x:c r="J214" s="63" t="str"/>
    </x:row>
  </x:sheetData>
  <x:mergeCells>
    <x:mergeCell ref="A1:J1"/>
    <x:mergeCell ref="A2:J2"/>
  </x:mergeCells>
  <x:dataValidations count="3">
    <x:dataValidation type="list" sqref="G5:G214">
      <x:formula1>"1,2,3,4,5"</x:formula1>
    </x:dataValidation>
    <x:dataValidation operator="greaterThanOrEqual" sqref="H5:H214">
      <x:formula1>0</x:formula1>
    </x:dataValidation>
    <x:dataValidation operator="between" sqref="F5:F214">
      <x:formula1>0</x:formula1>
      <x:formula2>200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539f6b97fb244244"/>
  </x:tableParts>
</x:worksheet>
</file>