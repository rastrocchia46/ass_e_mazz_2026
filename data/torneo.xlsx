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5a48fac74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ba3e254d869d4b55"/>
    <x:sheet xmlns:r="http://schemas.openxmlformats.org/officeDocument/2006/relationships" name="Config" sheetId="2" r:id="R1a9c1b7136434f7a"/>
    <x:sheet xmlns:r="http://schemas.openxmlformats.org/officeDocument/2006/relationships" name="Giocatori" sheetId="3" r:id="R0456b6a119504d9c"/>
    <x:sheet xmlns:r="http://schemas.openxmlformats.org/officeDocument/2006/relationships" name="Risultati_35" sheetId="4" r:id="R52f445a1b6004087"/>
    <x:sheet xmlns:r="http://schemas.openxmlformats.org/officeDocument/2006/relationships" name="Risultati_40" sheetId="5" r:id="R904ffd88911a4e1d"/>
    <x:sheet xmlns:r="http://schemas.openxmlformats.org/officeDocument/2006/relationships" name="Risultati_45" sheetId="6" r:id="R62543cc470fe464e"/>
    <x:sheet xmlns:r="http://schemas.openxmlformats.org/officeDocument/2006/relationships" name="Risultati_30" sheetId="7" r:id="Rf935e1b688274387"/>
    <x:sheet xmlns:r="http://schemas.openxmlformats.org/officeDocument/2006/relationships" name="Classifica_Iniziale" sheetId="8" r:id="R838b723551d64158"/>
    <x:sheet xmlns:r="http://schemas.openxmlformats.org/officeDocument/2006/relationships" name="Turno_1" sheetId="9" r:id="R4cd3f0dbc65b4594"/>
    <x:sheet xmlns:r="http://schemas.openxmlformats.org/officeDocument/2006/relationships" name="Turno_2" sheetId="10" r:id="R3a04a43d141548e3"/>
    <x:sheet xmlns:r="http://schemas.openxmlformats.org/officeDocument/2006/relationships" name="Turno_3" sheetId="11" r:id="R3bd8d3e652a44b06"/>
    <x:sheet xmlns:r="http://schemas.openxmlformats.org/officeDocument/2006/relationships" name="Finale" sheetId="12" r:id="Rd4a3543c20744ea6"/>
  </x:sheets>
</x:workbook>
</file>

<file path=xl/sharedStrings.xml><?xml version="1.0" encoding="utf-8"?>
<x:sst xmlns:x="http://schemas.openxmlformats.org/spreadsheetml/2006/main">
  <x:si>
    <x:t xml:space="preserve">TORNEO ASS 'E MAZZ - II EDIZIONE - FILE DI AGGIORNAMENTO</x:t>
  </x:si>
  <x:si>
    <x:t xml:space="preserve">COME USARE IL FILE</x:t>
  </x:si>
  <x:si>
    <x:t xml:space="preserve">1</x:t>
  </x:si>
  <x:si>
    <x:t xml:space="preserve">Apri il foglio Config e scegli il numero effettivo di giocatori: 30, 35, 40 oppure 45.</x:t>
  </x:si>
  <x:si>
    <x:t xml:space="preserve">2</x:t>
  </x:si>
  <x:si>
    <x:t xml:space="preserve">Nel foglio Giocatori inserisci i nomi accanto agli ID. Non modificare gli ID.</x:t>
  </x:si>
  <x:si>
    <x:t xml:space="preserve">3</x:t>
  </x:si>
  <x:si>
    <x:t xml:space="preserve">Apri il foglio Risultati corrispondente al numero di giocatori selezionato.</x:t>
  </x:si>
  <x:si>
    <x:t xml:space="preserve">4</x:t>
  </x:si>
  <x:si>
    <x:t xml:space="preserve">Dopo ogni tavolo compila solo le colonne gialle: Punti partita, Posizione, Sóle e Note.</x:t>
  </x:si>
  <x:si>
    <x:t xml:space="preserve">5</x:t>
  </x:si>
  <x:si>
    <x:t xml:space="preserve">Salva il file con il nome torneo.xlsx e sostituiscilo nella cartella data del sito GitHub Pages.</x:t>
  </x:si>
  <x:si>
    <x:t xml:space="preserve">La classifica sul sito applica automaticamente: punti 9-6-4-2-1, bonus +2 per ogni sóla e i criteri di spareggio del regolamento.</x:t>
  </x:si>
  <x:si>
    <x:t xml:space="preserve">ATTENZIONE</x:t>
  </x:si>
  <x:si>
    <x:t xml:space="preserve">In caso di perfetta parità dopo tutti i criteri regolamentari, il sito segnala che è necessario il sorteggio.</x:t>
  </x:si>
  <x:si>
    <x:t xml:space="preserve">CONFIGURAZIONE TORNEO</x:t>
  </x:si>
  <x:si>
    <x:t xml:space="preserve">Chiave</x:t>
  </x:si>
  <x:si>
    <x:t xml:space="preserve">Valore</x:t>
  </x:si>
  <x:si>
    <x:t xml:space="preserve">Descrizione</x:t>
  </x:si>
  <x:si>
    <x:t xml:space="preserve">Da modificare?</x:t>
  </x:si>
  <x:si>
    <x:t xml:space="preserve">Nome torneo</x:t>
  </x:si>
  <x:si>
    <x:t xml:space="preserve">Torneo Ass 'e Mazz 2026 - II Edizione</x:t>
  </x:si>
  <x:si>
    <x:t xml:space="preserve">Titolo mostrato sul sito</x:t>
  </x:si>
  <x:si>
    <x:t xml:space="preserve">Sì</x:t>
  </x:si>
  <x:si>
    <x:t xml:space="preserve">Numero giocatori</x:t>
  </x:si>
  <x:si>
    <x:t xml:space="preserve">Scegliere 30, 35, 40 oppure 45</x:t>
  </x:si>
  <x:si>
    <x:t xml:space="preserve">Posti qualificazione</x:t>
  </x:si>
  <x:si>
    <x:t xml:space="preserve">Solo se cambia il regolamento</x:t>
  </x:si>
  <x:si>
    <x:t xml:space="preserve">Fase</x:t>
  </x:si>
  <x:si>
    <x:t xml:space="preserve">Testo visualizzato nella testata</x:t>
  </x:si>
  <x:si>
    <x:t xml:space="preserve">Date</x:t>
  </x:si>
  <x:si>
    <x:t xml:space="preserve">16-17 settembre 2026</x:t>
  </x:si>
  <x:si>
    <x:t xml:space="preserve">Date della seconda edizione</x:t>
  </x:si>
  <x:si>
    <x:t xml:space="preserve">No</x:t>
  </x:si>
  <x:si>
    <x:t xml:space="preserve">ELENCO GIOCATORI</x:t>
  </x:si>
  <x:si>
    <x:t xml:space="preserve">ID</x:t>
  </x:si>
  <x:si>
    <x:t xml:space="preserve">Nome e cognome</x:t>
  </x:si>
  <x:si>
    <x:t xml:space="preserve">Soprannome (facoltativo)</x:t>
  </x:si>
  <x:si>
    <x:t xml:space="preserve">Note</x:t>
  </x:si>
  <x:si>
    <x:t xml:space="preserve">Zio Raffaele</x:t>
  </x:si>
  <x:si>
    <x:t xml:space="preserve">Nicola Mauro</x:t>
  </x:si>
  <x:si>
    <x:t xml:space="preserve">Beracci Lucio</x:t>
  </x:si>
  <x:si>
    <x:t xml:space="preserve">Annunziata Michele</x:t>
  </x:si>
  <x:si>
    <x:t xml:space="preserve">La Marca Carlo</x:t>
  </x:si>
  <x:si>
    <x:t xml:space="preserve">Sommese Antonio</x:t>
  </x:si>
  <x:si>
    <x:t xml:space="preserve">Notaro massimo</x:t>
  </x:si>
  <x:si>
    <x:t xml:space="preserve">Beracci Benedetto</x:t>
  </x:si>
  <x:si>
    <x:t xml:space="preserve">Atria Gregorio</x:t>
  </x:si>
  <x:si>
    <x:t xml:space="preserve">Caliendo Nunzio</x:t>
  </x:si>
  <x:si>
    <x:t xml:space="preserve">Moccia Biagio</x:t>
  </x:si>
  <x:si>
    <x:t xml:space="preserve">De Falco Andrea</x:t>
  </x:si>
  <x:si>
    <x:t xml:space="preserve">Corbo Alessandro</x:t>
  </x:si>
  <x:si>
    <x:t xml:space="preserve">Botta Francesco</x:t>
  </x:si>
  <x:si>
    <x:t xml:space="preserve">Tufano Antonio</x:t>
  </x:si>
  <x:si>
    <x:t xml:space="preserve">Iorio Raffaele</x:t>
  </x:si>
  <x:si>
    <x:t xml:space="preserve">Scogliamiglio Alfredo</x:t>
  </x:si>
  <x:si>
    <x:t xml:space="preserve">Cafarelli Manolo</x:t>
  </x:si>
  <x:si>
    <x:t xml:space="preserve">Fuschillo Franco</x:t>
  </x:si>
  <x:si>
    <x:t xml:space="preserve">Di Grazia Salvatore</x:t>
  </x:si>
  <x:si>
    <x:t xml:space="preserve">Mauro Candice</x:t>
  </x:si>
  <x:si>
    <x:t xml:space="preserve">Michele Zappone</x:t>
  </x:si>
  <x:si>
    <x:t xml:space="preserve">Amato Alessandro</x:t>
  </x:si>
  <x:si>
    <x:t xml:space="preserve">Napolitano Pasquale</x:t>
  </x:si>
  <x:si>
    <x:t xml:space="preserve">Fontanella Giuseppe</x:t>
  </x:si>
  <x:si>
    <x:t xml:space="preserve">La Marca Franco</x:t>
  </x:si>
  <x:si>
    <x:t xml:space="preserve">Tufano Michele</x:t>
  </x:si>
  <x:si>
    <x:t xml:space="preserve">Ambrosino Raffaele</x:t>
  </x:si>
  <x:si>
    <x:t xml:space="preserve">Tufano Giovanni</x:t>
  </x:si>
  <x:si>
    <x:t xml:space="preserve">Mauro Raffaele</x:t>
  </x:si>
  <x:si>
    <x:t xml:space="preserve">Anna Angiero</x:t>
  </x:si>
  <x:si>
    <x:t xml:space="preserve">Notaro Giacomo</x:t>
  </x:si>
  <x:si>
    <x:t xml:space="preserve">Nappi Nestore</x:t>
  </x:si>
  <x:si>
    <x:t xml:space="preserve">Pasquale Marotta</x:t>
  </x:si>
  <x:si>
    <x:t xml:space="preserve">Napolitano Raffaele</x:t>
  </x:si>
  <x:si>
    <x:t xml:space="preserve">Perretta Maurizio</x:t>
  </x:si>
  <x:si>
    <x:t xml:space="preserve">Annunziata Raffaele</x:t>
  </x:si>
  <x:si>
    <x:t xml:space="preserve">Giuseppe Pierro</x:t>
  </x:si>
  <x:si>
    <x:t xml:space="preserve">La Marca Pasquale</x:t>
  </x:si>
  <x:si>
    <x:t xml:space="preserve">Ambrosino Michele</x:t>
  </x:si>
  <x:si>
    <x:t xml:space="preserve">RISULTATI - 35 GIOCATORI - II EDIZIONE</x:t>
  </x:si>
  <x:si>
    <x:t xml:space="preserve">Compilare esclusivamente le celle gialle. Posizione: 1 = migliore al tavolo, 5 = peggiore. Date: 16-17 settembre 2026.</x:t>
  </x:si>
  <x:si>
    <x:t xml:space="preserve">Turno</x:t>
  </x:si>
  <x:si>
    <x:t xml:space="preserve">Tavolo</x:t>
  </x:si>
  <x:si>
    <x:t xml:space="preserve">Sedia</x:t>
  </x:si>
  <x:si>
    <x:t xml:space="preserve">Giocatore ID</x:t>
  </x:si>
  <x:si>
    <x:t xml:space="preserve">Nome</x:t>
  </x:si>
  <x:si>
    <x:t xml:space="preserve">Punti partita</x:t>
  </x:si>
  <x:si>
    <x:t xml:space="preserve">Posizione</x:t>
  </x:si>
  <x:si>
    <x:t xml:space="preserve">Sóle</x:t>
  </x:si>
  <x:si>
    <x:t xml:space="preserve">Punti classifica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</x:si>
  <x:si>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</x:si>
  <x:si>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</x:si>
  <x:si>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</x:si>
  <x:si>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</x:si>
  <x:si>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</x:si>
  <x:si>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</x:si>
  <x:si>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</x:si>
  <x:si>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RISULTATI - 40 GIOCATORI - II EDIZIONE</x:t>
  </x:si>
  <x:si>
    <x:t xml:space="preserve">Sola aggiunta</x:t>
  </x:si>
  <x:si>
    <x:t xml:space="preserve">H</x:t>
  </x:si>
  <x:si>
    <x:t xml:space="preserve">RISULTATI - 45 GIOCATORI - II EDIZIONE</x:t>
  </x:si>
  <x:si>
    <x:t xml:space="preserve">I</x:t>
  </x:si>
  <x:si>
    <x:t xml:space="preserve">RISULTATI - 30 GIOCATORI - II EDIZIONE</x:t>
  </x:si>
</x:sst>
</file>

<file path=xl/styles.xml><?xml version="1.0" encoding="utf-8"?>
<x:styleSheet xmlns:x="http://schemas.openxmlformats.org/spreadsheetml/2006/main">
  <x:fonts count="12">
    <x:font>
      <x:sz val="11"/>
      <x:color rgb="FF000000"/>
      <x:name val="Carlito"/>
    </x:font>
    <x:font>
      <x:b/>
      <x:sz val="15"/>
      <x:color rgb="FFFFFFFF"/>
      <x:name val="Carlito"/>
    </x:font>
    <x:font>
      <x:color theme="1"/>
      <x:name val="Carlito"/>
    </x:font>
    <x:font>
      <x:i/>
      <x:sz val="11"/>
      <x:color rgb="FF2A2020"/>
      <x:name val="Carlito"/>
    </x:font>
    <x:font>
      <x:b/>
      <x:sz val="11"/>
      <x:color rgb="FFFFFFFF"/>
      <x:name val="Carlito"/>
    </x:font>
    <x:font>
      <x:sz val="11"/>
      <x:color rgb="FF555555"/>
      <x:name val="Carlito"/>
    </x:font>
    <x:font>
      <x:b/>
      <x:sz val="16"/>
      <x:color rgb="FFFFFFFF"/>
      <x:name val="Carlito"/>
    </x:font>
    <x:font>
      <x:sz val="11"/>
      <x:color theme="1"/>
      <x:name val="Carlito"/>
    </x:font>
    <x:font>
      <x:b/>
      <x:sz val="11"/>
      <x:color rgb="FF8B0D13"/>
      <x:name val="Carlito"/>
    </x:font>
    <x:font>
      <x:b/>
      <x:sz val="11"/>
      <x:color rgb="FF2A2020"/>
      <x:name val="Carlito"/>
    </x:font>
    <x:font>
      <x:color theme="1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8B0D13"/>
      </x:patternFill>
    </x:fill>
    <x:fill>
      <x:patternFill patternType="solid">
        <x:fgColor rgb="FFFFF8ED"/>
      </x:patternFill>
    </x:fill>
    <x:fill>
      <x:patternFill patternType="solid">
        <x:fgColor rgb="FFF3F4F6"/>
      </x:patternFill>
    </x:fill>
    <x:fill>
      <x:patternFill patternType="solid">
        <x:fgColor rgb="FFFFF4CF"/>
      </x:patternFill>
    </x:fill>
    <x:fill>
      <x:patternFill patternType="solid">
        <x:fgColor rgb="FFF7E8E8"/>
      </x:patternFill>
    </x:fill>
    <x:fill>
      <x:patternFill patternType="solid">
        <x:fgColor rgb="FFD4A63A"/>
      </x:patternFill>
    </x:fill>
    <x:fill>
      <x:patternFill patternType="solid">
        <x:fgColor rgb="FFFFD966"/>
      </x:patternFill>
    </x:fill>
    <x:fill>
      <x:patternFill patternType="solid">
        <x:fgColor rgb="FF9E0F14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 applyFont="1" applyAlignment="1"/>
  </x:cellStyleXfs>
  <x:cellXfs count="5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0" fontId="3" fillId="3" borderId="0" xfId="0" applyFont="1" applyFill="1" applyAlignment="1">
      <x:alignment horizontal="left"/>
    </x:xf>
    <x:xf numFmtId="0" fontId="4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wrapText="1"/>
    </x:xf>
    <x:xf numFmtId="0" fontId="5" fillId="4" borderId="0" xfId="0" applyFont="1" applyFill="1"/>
    <x:xf numFmtId="0" fontId="6" fillId="2" borderId="0" xfId="0" applyFont="1" applyFill="1" applyAlignment="1">
      <x:alignment horizontal="center" vertical="center"/>
    </x:xf>
    <x:xf numFmtId="0" fontId="7" fillId="0" borderId="0" xfId="0" applyFont="1"/>
    <x:xf numFmtId="0" fontId="7" fillId="5" borderId="0" xfId="0" applyFont="1" applyFill="1" applyAlignment="1">
      <x:alignment horizontal="center"/>
    </x:xf>
    <x:xf numFmtId="0" fontId="7" fillId="5" borderId="0" xfId="0" applyFont="1" applyFill="1"/>
    <x:xf numFmtId="0" fontId="8" fillId="6" borderId="0" xfId="0" applyFont="1" applyFill="1" applyAlignment="1">
      <x:alignment vertical="center" wrapText="1"/>
    </x:xf>
    <x:xf numFmtId="0" fontId="9" fillId="7" borderId="0" xfId="0" applyFont="1" applyFill="1" applyAlignment="1">
      <x:alignment horizontal="center" wrapText="1"/>
    </x:xf>
    <x:xf numFmtId="0" fontId="7" fillId="0" borderId="0" xfId="0" applyFont="1" applyAlignment="1">
      <x:alignment wrapText="1"/>
    </x:xf>
    <x:xf numFmtId="0" fontId="7" fillId="5" borderId="0" xfId="0" applyFont="1" applyFill="1" applyAlignment="1"/>
    <x:xf numFmtId="0" fontId="3" fillId="3" borderId="0" xfId="0" applyFont="1" applyFill="1" applyAlignment="1">
      <x:alignment wrapText="1"/>
    </x:xf>
    <x:xf numFmtId="0" fontId="8" fillId="6" borderId="0" xfId="0" applyFont="1" applyFill="1" applyAlignment="1">
      <x:alignment wrapText="1"/>
    </x:xf>
    <x:xf numFmtId="0" fontId="7" fillId="5" borderId="0" xfId="0" applyFont="1" applyFill="1" applyAlignment="1">
      <x:alignment horizontal="center"/>
    </x:xf>
    <x:xf numFmtId="0" fontId="7" fillId="8" borderId="0" xfId="0" applyFont="1" applyFill="1"/>
    <x:xf numFmtId="0" fontId="10" fillId="0" borderId="0" xfId="0" applyFont="1"/>
    <x:xf numFmtId="0" fontId="10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2" fillId="0" borderId="0" xfId="0" applyNumberFormat="1" applyFont="1" applyFill="1" applyBorder="1"/>
    <x:xf numFmtId="0" fontId="0" fillId="9" borderId="0" xfId="0" applyNumberFormat="1" applyFont="1" applyFill="1" applyBorder="1" applyAlignment="1">
      <x:alignment vertical="bottom" wrapText="0"/>
    </x:xf>
    <x:xf numFmtId="0" fontId="11" fillId="9" borderId="0" xfId="0" applyNumberFormat="1" applyFont="1" applyFill="1" applyBorder="1" applyAlignment="1">
      <x:alignment vertical="bottom" wrapText="0"/>
    </x:xf>
    <x:xf numFmtId="0" fontId="11" fillId="9" borderId="0" xfId="0" applyNumberFormat="1" applyFont="1" applyFill="1" applyBorder="1" applyAlignment="1">
      <x:alignment horizontal="center" vertical="bottom" wrapText="0"/>
    </x:xf>
    <x:xf numFmtId="0" fontId="11" fillId="9" borderId="0" xfId="0" applyNumberFormat="1" applyFont="1" applyFill="1" applyBorder="1" applyAlignment="1">
      <x:alignment horizontal="center" vertical="center" wrapText="0"/>
    </x:xf>
    <x:xf numFmtId="0" fontId="4" fillId="9" borderId="0" xfId="0" applyNumberFormat="1" applyFont="1" applyFill="1" applyBorder="1" applyAlignment="1">
      <x:alignment vertical="bottom" wrapText="0"/>
    </x:xf>
    <x:xf numFmtId="0" fontId="4" fillId="9" borderId="0" xfId="0" applyNumberFormat="1" applyFont="1" applyFill="1" applyBorder="1" applyAlignment="1">
      <x:alignment vertical="bottom" wrapText="1"/>
    </x:xf>
    <x:xf numFmtId="0" fontId="4" fillId="9" borderId="0" xfId="0" applyNumberFormat="1" applyFont="1" applyFill="1" applyBorder="1" applyAlignment="1">
      <x:alignment horizontal="center" vertical="bottom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bottom" wrapText="0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7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7" fillId="0" xfId="0" applyNumberFormat="1" applyFont="1" applyFill="1" applyBorder="0" applyAlignment="1">
      <x:alignment wrapText="1"/>
    </x:xf>
    <x:xf numFmtId="0" fontId="7" fillId="5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bottom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a3ebed83244fd" /><Relationship Type="http://schemas.openxmlformats.org/officeDocument/2006/relationships/theme" Target="/xl/theme/theme1.xml" Id="Rc8640206b5074ea1" /><Relationship Type="http://schemas.openxmlformats.org/officeDocument/2006/relationships/sharedStrings" Target="/xl/sharedStrings.xml" Id="R88871500e56349ba" /><Relationship Type="http://schemas.openxmlformats.org/officeDocument/2006/relationships/worksheet" Target="/xl/worksheets/sheet1.xml" Id="Rba3e254d869d4b55" /><Relationship Type="http://schemas.openxmlformats.org/officeDocument/2006/relationships/worksheet" Target="/xl/worksheets/sheet2.xml" Id="R1a9c1b7136434f7a" /><Relationship Type="http://schemas.openxmlformats.org/officeDocument/2006/relationships/worksheet" Target="/xl/worksheets/sheet3.xml" Id="R0456b6a119504d9c" /><Relationship Type="http://schemas.openxmlformats.org/officeDocument/2006/relationships/worksheet" Target="/xl/worksheets/sheet4.xml" Id="R52f445a1b6004087" /><Relationship Type="http://schemas.openxmlformats.org/officeDocument/2006/relationships/worksheet" Target="/xl/worksheets/sheet5.xml" Id="R904ffd88911a4e1d" /><Relationship Type="http://schemas.openxmlformats.org/officeDocument/2006/relationships/worksheet" Target="/xl/worksheets/sheet6.xml" Id="R62543cc470fe464e" /><Relationship Type="http://schemas.openxmlformats.org/officeDocument/2006/relationships/worksheet" Target="/xl/worksheets/sheet7.xml" Id="Rf935e1b688274387" /><Relationship Type="http://schemas.openxmlformats.org/officeDocument/2006/relationships/worksheet" Target="/xl/worksheets/sheet8.xml" Id="R838b723551d64158" /><Relationship Type="http://schemas.openxmlformats.org/officeDocument/2006/relationships/worksheet" Target="/xl/worksheets/sheet9.xml" Id="R4cd3f0dbc65b4594" /><Relationship Type="http://schemas.openxmlformats.org/officeDocument/2006/relationships/worksheet" Target="/xl/worksheets/sheet10.xml" Id="R3a04a43d141548e3" /><Relationship Type="http://schemas.openxmlformats.org/officeDocument/2006/relationships/worksheet" Target="/xl/worksheets/sheet11.xml" Id="R3bd8d3e652a44b06" /><Relationship Type="http://schemas.openxmlformats.org/officeDocument/2006/relationships/worksheet" Target="/xl/worksheets/sheet12.xml" Id="Rd4a3543c20744ea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6" width="18" customWidth="1"/>
  </x:cols>
  <x:sheetData>
    <x:row r="1" ht="22.5" customHeight="1">
      <x:c r="A1" s="7" t="s">
        <x:v>0</x:v>
      </x:c>
    </x:row>
    <x:row r="2" ht="13.5" customHeight="1">
      <x:c r="A2" s="8"/>
      <x:c r="B2" s="8"/>
      <x:c r="C2" s="8"/>
      <x:c r="D2" s="8"/>
      <x:c r="E2" s="8"/>
      <x:c r="F2" s="8"/>
    </x:row>
    <x:row r="3" ht="13.5" customHeight="1">
      <x:c r="A3" s="11" t="s">
        <x:v>1</x:v>
      </x:c>
    </x:row>
    <x:row r="4" ht="21" customHeight="1">
      <x:c r="A4" s="12" t="s">
        <x:v>2</x:v>
      </x:c>
      <x:c r="B4" s="13" t="s">
        <x:v>3</x:v>
      </x:c>
    </x:row>
    <x:row r="5" ht="21" customHeight="1">
      <x:c r="A5" s="12" t="s">
        <x:v>4</x:v>
      </x:c>
      <x:c r="B5" s="13" t="s">
        <x:v>5</x:v>
      </x:c>
    </x:row>
    <x:row r="6" ht="21" customHeight="1">
      <x:c r="A6" s="12" t="s">
        <x:v>6</x:v>
      </x:c>
      <x:c r="B6" s="13" t="s">
        <x:v>7</x:v>
      </x:c>
    </x:row>
    <x:row r="7" ht="21" customHeight="1">
      <x:c r="A7" s="12" t="s">
        <x:v>8</x:v>
      </x:c>
      <x:c r="B7" s="13" t="s">
        <x:v>9</x:v>
      </x:c>
    </x:row>
    <x:row r="8" ht="21" customHeight="1">
      <x:c r="A8" s="12" t="s">
        <x:v>10</x:v>
      </x:c>
      <x:c r="B8" s="13" t="s">
        <x:v>11</x:v>
      </x:c>
    </x:row>
    <x:row r="9" ht="21" customHeight="1">
      <x:c r="A9" s="12"/>
      <x:c r="B9" s="13" t="s">
        <x:v>12</x:v>
      </x:c>
    </x:row>
    <x:row r="10" ht="21" customHeight="1">
      <x:c r="A10" s="15" t="s">
        <x:v>13</x:v>
      </x:c>
      <x:c r="B10" s="15" t="s">
        <x:v>14</x:v>
      </x:c>
    </x:row>
    <x:row r="11" ht="21" customHeight="1">
      <x:c r="A11" s="16" t="str">
        <x:v>FASE FINALE</x:v>
      </x:c>
      <x:c r="B11" s="16" t="str">
        <x:v>La classifica della prima serata resta intatta e determina i 30 qualificati.</x:v>
      </x:c>
    </x:row>
    <x:row r="12" ht="13.5" customHeight="1">
      <x:c r="A12" t="str">
        <x:v>Turno 1</x:v>
      </x:c>
      <x:c r="B12" t="str">
        <x:v>Giocano i classificati dal 6° al 30° posto. 5 tavoli da 5; passano i primi 3 di ogni tavolo.</x:v>
      </x:c>
    </x:row>
    <x:row r="13" ht="13.5" customHeight="1">
      <x:c r="A13" t="str">
        <x:v>Turno 2</x:v>
      </x:c>
      <x:c r="B13" t="str">
        <x:v>Ai 15 qualificati si aggiungono i primi 5 della classifica iniziale. 4 tavoli da 5; passano i primi 2 e i 2 migliori terzi.</x:v>
      </x:c>
    </x:row>
    <x:row r="14" ht="13.5" customHeight="1">
      <x:c r="A14" t="str">
        <x:v>Turno 3</x:v>
      </x:c>
      <x:c r="B14" t="str">
        <x:v>10 giocatori, 2 tavoli. Passano i primi 2 di ogni tavolo e il miglior terzo.</x:v>
      </x:c>
    </x:row>
    <x:row r="15" ht="13.5" customHeight="1">
      <x:c r="A15" t="str">
        <x:v>Turno 4</x:v>
      </x:c>
      <x:c r="B15" t="str">
        <x:v>I 5 rimasti disputano il tavolo finale.</x:v>
      </x:c>
    </x:row>
    <x:row r="16" ht="13.5" customHeight="1">
      <x:c r="A16" t="str">
        <x:v>Spareggi terzi</x:v>
      </x:c>
      <x:c r="B16" t="str">
        <x:v>Punti partita più bassi, poi più sòle, poi migliore posizione nella classifica iniziale.</x:v>
      </x:c>
    </x:row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9:F9"/>
    <x:mergeCell ref="B10:F10"/>
    <x:mergeCell ref="B11:F11"/>
    <x:mergeCell ref="A1:F1"/>
    <x:mergeCell ref="A3:F3"/>
    <x:mergeCell ref="B4:F4"/>
    <x:mergeCell ref="B5:F5"/>
    <x:mergeCell ref="B6:F6"/>
    <x:mergeCell ref="B7:F7"/>
    <x:mergeCell ref="B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28" customWidth="1"/>
    <x:col min="3" max="3" width="48" customWidth="1"/>
    <x:col min="4" max="4" width="28" customWidth="1"/>
    <x:col min="5" max="6" width="8.630000114440918" customWidth="1"/>
  </x:cols>
  <x:sheetData>
    <x:row r="1" ht="19.5" customHeight="1">
      <x:c r="A1" s="5" t="s">
        <x:v>15</x:v>
      </x:c>
    </x:row>
    <x:row r="2" ht="13.5" customHeight="1"/>
    <x:row r="3" ht="13.5" customHeight="1">
      <x:c r="A3" s="4" t="s">
        <x:v>16</x:v>
      </x:c>
      <x:c r="B3" s="4" t="s">
        <x:v>17</x:v>
      </x:c>
      <x:c r="C3" s="4" t="s">
        <x:v>18</x:v>
      </x:c>
      <x:c r="D3" s="4" t="s">
        <x:v>19</x:v>
      </x:c>
    </x:row>
    <x:row r="4" ht="13.5" customHeight="1">
      <x:c r="A4" s="8" t="s">
        <x:v>20</x:v>
      </x:c>
      <x:c r="B4" s="10" t="s">
        <x:v>21</x:v>
      </x:c>
      <x:c r="C4" s="8" t="s">
        <x:v>22</x:v>
      </x:c>
      <x:c r="D4" s="8" t="s">
        <x:v>23</x:v>
      </x:c>
    </x:row>
    <x:row r="5" ht="13.5" customHeight="1">
      <x:c r="A5" s="8" t="s">
        <x:v>24</x:v>
      </x:c>
      <x:c r="B5" s="14">
        <x:v>40.0</x:v>
      </x:c>
      <x:c r="C5" s="8" t="s">
        <x:v>25</x:v>
      </x:c>
      <x:c r="D5" s="8" t="s">
        <x:v>23</x:v>
      </x:c>
    </x:row>
    <x:row r="6" ht="13.5" customHeight="1">
      <x:c r="A6" s="8" t="s">
        <x:v>26</x:v>
      </x:c>
      <x:c r="B6" s="14" t="n">
        <x:v>30</x:v>
      </x:c>
      <x:c r="C6" s="8" t="str">
        <x:v>Passano i primi 30 della fase iniziale</x:v>
      </x:c>
      <x:c r="D6" s="8" t="s">
        <x:v>27</x:v>
      </x:c>
    </x:row>
    <x:row r="7" ht="13.5" customHeight="1">
      <x:c r="A7" s="8" t="s">
        <x:v>28</x:v>
      </x:c>
      <x:c r="B7" s="10" t="str">
        <x:v>Fase finale</x:v>
      </x:c>
      <x:c r="C7" s="8" t="s">
        <x:v>29</x:v>
      </x:c>
      <x:c r="D7" s="8" t="s">
        <x:v>23</x:v>
      </x:c>
    </x:row>
    <x:row r="8" ht="13.5" customHeight="1">
      <x:c r="A8" s="8" t="s">
        <x:v>30</x:v>
      </x:c>
      <x:c r="B8" s="10" t="s">
        <x:v>31</x:v>
      </x:c>
      <x:c r="C8" s="8" t="s">
        <x:v>32</x:v>
      </x:c>
      <x:c r="D8" s="8" t="s">
        <x:v>33</x:v>
      </x:c>
    </x:row>
    <x:row r="9" ht="13.5" customHeight="1">
      <x:c r="A9" s="52" t="str">
        <x:v>Turno 1</x:v>
      </x:c>
      <x:c r="B9" s="53" t="str">
        <x:v>25 giocatori</x:v>
      </x:c>
      <x:c r="C9" s="52" t="str">
        <x:v>Classificati 6°-30°: 5 tavoli, passano i primi 3</x:v>
      </x:c>
      <x:c r="D9" s="52" t="str">
        <x:v>Automatico</x:v>
      </x:c>
    </x:row>
    <x:row r="10" ht="13.5" customHeight="1">
      <x:c r="A10" s="52" t="str">
        <x:v>Turno 2</x:v>
      </x:c>
      <x:c r="B10" s="53" t="str">
        <x:v>20 giocatori</x:v>
      </x:c>
      <x:c r="C10" s="52" t="str">
        <x:v>15 qualificati + primi 5 iniziali: passano 2 per tavolo + 2 migliori terzi</x:v>
      </x:c>
      <x:c r="D10" s="52" t="str">
        <x:v>Automatico</x:v>
      </x:c>
    </x:row>
    <x:row r="11" ht="13.5" customHeight="1">
      <x:c r="A11" s="54" t="str">
        <x:v>Turno 3</x:v>
      </x:c>
      <x:c r="B11" s="54" t="str">
        <x:v>10 giocatori</x:v>
      </x:c>
      <x:c r="C11" s="54" t="str">
        <x:v>2 tavoli: passano i primi 2 + il miglior terzo</x:v>
      </x:c>
      <x:c r="D11" s="54" t="str">
        <x:v>Automatico</x:v>
      </x:c>
    </x:row>
    <x:row r="12" ht="13.5" customHeight="1">
      <x:c r="A12" s="54" t="str">
        <x:v>Turno 4</x:v>
      </x:c>
      <x:c r="B12" s="54" t="str">
        <x:v>5 giocatori</x:v>
      </x:c>
      <x:c r="C12" s="54" t="str">
        <x:v>Tavolo finale</x:v>
      </x:c>
      <x:c r="D12" s="54" t="str">
        <x:v>Automatico</x:v>
      </x:c>
    </x:row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</x:mergeCells>
  <x:dataValidations count="2">
    <x:dataValidation type="list" allowBlank="1" sqref="B6">
      <x:formula1>"25,1,2,3"</x:formula1>
    </x:dataValidation>
    <x:dataValidation type="list" allowBlank="1" sqref="B5">
      <x:formula1>"30,35,40,45"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30" customWidth="1"/>
    <x:col min="3" max="3" width="24" customWidth="1"/>
    <x:col min="4" max="4" width="34" customWidth="1"/>
    <x:col min="5" max="6" width="8.630000114440918" customWidth="1"/>
    <x:col min="7" max="8" width="16.6299991607666" customWidth="1"/>
  </x:cols>
  <x:sheetData>
    <x:row r="1" ht="19.5" customHeight="1">
      <x:c r="A1" s="1" t="s">
        <x:v>34</x:v>
      </x:c>
    </x:row>
    <x:row r="2" ht="13.5" customHeight="1">
      <x:c r="B2" s="2"/>
    </x:row>
    <x:row r="3" ht="13.5" customHeight="1">
      <x:c r="A3" s="4" t="s">
        <x:v>35</x:v>
      </x:c>
      <x:c r="B3" s="4" t="s">
        <x:v>36</x:v>
      </x:c>
      <x:c r="C3" s="4" t="s">
        <x:v>37</x:v>
      </x:c>
      <x:c r="D3" s="4" t="s">
        <x:v>38</x:v>
      </x:c>
    </x:row>
    <x:row r="4" ht="13.5" customHeight="1">
      <x:c r="A4" s="6">
        <x:v>1.0</x:v>
      </x:c>
      <x:c r="B4" s="9" t="s">
        <x:v>39</x:v>
      </x:c>
      <x:c r="C4" s="10"/>
      <x:c r="D4" s="10"/>
    </x:row>
    <x:row r="5" ht="13.5" customHeight="1">
      <x:c r="A5" s="6">
        <x:v>2.0</x:v>
      </x:c>
      <x:c r="B5" s="9" t="s">
        <x:v>40</x:v>
      </x:c>
      <x:c r="C5" s="10"/>
      <x:c r="D5" s="10"/>
      <x:c r="G5" s="9"/>
    </x:row>
    <x:row r="6" ht="13.5" customHeight="1">
      <x:c r="A6" s="6">
        <x:v>3.0</x:v>
      </x:c>
      <x:c r="B6" s="9" t="s">
        <x:v>41</x:v>
      </x:c>
      <x:c r="C6" s="10"/>
      <x:c r="D6" s="10"/>
      <x:c r="G6" s="9"/>
    </x:row>
    <x:row r="7" ht="13.5" customHeight="1">
      <x:c r="A7" s="6">
        <x:v>4.0</x:v>
      </x:c>
      <x:c r="B7" s="9" t="s">
        <x:v>42</x:v>
      </x:c>
      <x:c r="C7" s="10"/>
      <x:c r="D7" s="10"/>
      <x:c r="G7" s="9"/>
    </x:row>
    <x:row r="8" ht="13.5" customHeight="1">
      <x:c r="A8" s="6">
        <x:v>5.0</x:v>
      </x:c>
      <x:c r="B8" s="9" t="s">
        <x:v>43</x:v>
      </x:c>
      <x:c r="C8" s="10"/>
      <x:c r="D8" s="10"/>
      <x:c r="G8" s="9"/>
    </x:row>
    <x:row r="9" ht="13.5" customHeight="1">
      <x:c r="A9" s="6">
        <x:v>6.0</x:v>
      </x:c>
      <x:c r="B9" s="9" t="s">
        <x:v>44</x:v>
      </x:c>
      <x:c r="C9" s="10"/>
      <x:c r="D9" s="10"/>
      <x:c r="G9" s="9"/>
    </x:row>
    <x:row r="10" ht="13.5" customHeight="1">
      <x:c r="A10" s="6">
        <x:v>7.0</x:v>
      </x:c>
      <x:c r="B10" s="9" t="s">
        <x:v>45</x:v>
      </x:c>
      <x:c r="C10" s="10"/>
      <x:c r="D10" s="10"/>
      <x:c r="G10" s="9"/>
    </x:row>
    <x:row r="11" ht="13.5" customHeight="1">
      <x:c r="A11" s="6">
        <x:v>8.0</x:v>
      </x:c>
      <x:c r="B11" s="9" t="s">
        <x:v>46</x:v>
      </x:c>
      <x:c r="C11" s="10"/>
      <x:c r="D11" s="10"/>
      <x:c r="G11" s="9"/>
    </x:row>
    <x:row r="12" ht="13.5" customHeight="1">
      <x:c r="A12" s="6">
        <x:v>9.0</x:v>
      </x:c>
      <x:c r="B12" s="9" t="s">
        <x:v>47</x:v>
      </x:c>
      <x:c r="C12" s="10"/>
      <x:c r="D12" s="10"/>
      <x:c r="G12" s="9"/>
    </x:row>
    <x:row r="13" ht="13.5" customHeight="1">
      <x:c r="A13" s="6">
        <x:v>10.0</x:v>
      </x:c>
      <x:c r="B13" s="9" t="s">
        <x:v>48</x:v>
      </x:c>
      <x:c r="C13" s="10"/>
      <x:c r="D13" s="10"/>
      <x:c r="G13" s="9"/>
    </x:row>
    <x:row r="14" ht="13.5" customHeight="1">
      <x:c r="A14" s="6">
        <x:v>11.0</x:v>
      </x:c>
      <x:c r="B14" s="9" t="s">
        <x:v>49</x:v>
      </x:c>
      <x:c r="C14" s="10"/>
      <x:c r="D14" s="10"/>
      <x:c r="G14" s="9"/>
    </x:row>
    <x:row r="15" ht="13.5" customHeight="1">
      <x:c r="A15" s="6">
        <x:v>12.0</x:v>
      </x:c>
      <x:c r="B15" s="9" t="s">
        <x:v>50</x:v>
      </x:c>
      <x:c r="C15" s="10"/>
      <x:c r="D15" s="10"/>
      <x:c r="G15" s="9"/>
    </x:row>
    <x:row r="16" ht="13.5" customHeight="1">
      <x:c r="A16" s="6">
        <x:v>13.0</x:v>
      </x:c>
      <x:c r="B16" s="9" t="s">
        <x:v>51</x:v>
      </x:c>
      <x:c r="C16" s="10"/>
      <x:c r="D16" s="10"/>
      <x:c r="G16" s="9"/>
    </x:row>
    <x:row r="17" ht="13.5" customHeight="1">
      <x:c r="A17" s="6">
        <x:v>14.0</x:v>
      </x:c>
      <x:c r="B17" s="9" t="s">
        <x:v>52</x:v>
      </x:c>
      <x:c r="C17" s="10"/>
      <x:c r="D17" s="10"/>
      <x:c r="G17" s="9"/>
    </x:row>
    <x:row r="18" ht="13.5" customHeight="1">
      <x:c r="A18" s="6">
        <x:v>15.0</x:v>
      </x:c>
      <x:c r="B18" s="9" t="s">
        <x:v>53</x:v>
      </x:c>
      <x:c r="C18" s="10"/>
      <x:c r="D18" s="10"/>
      <x:c r="G18" s="9"/>
    </x:row>
    <x:row r="19" ht="13.5" customHeight="1">
      <x:c r="A19" s="6">
        <x:v>16.0</x:v>
      </x:c>
      <x:c r="B19" s="9" t="s">
        <x:v>54</x:v>
      </x:c>
      <x:c r="C19" s="10"/>
      <x:c r="D19" s="10"/>
      <x:c r="G19" s="9"/>
    </x:row>
    <x:row r="20" ht="13.5" customHeight="1">
      <x:c r="A20" s="6">
        <x:v>17.0</x:v>
      </x:c>
      <x:c r="B20" s="9" t="s">
        <x:v>55</x:v>
      </x:c>
      <x:c r="C20" s="10"/>
      <x:c r="D20" s="10"/>
      <x:c r="G20" s="9"/>
    </x:row>
    <x:row r="21" ht="13.5" customHeight="1">
      <x:c r="A21" s="6">
        <x:v>18.0</x:v>
      </x:c>
      <x:c r="B21" s="9" t="s">
        <x:v>56</x:v>
      </x:c>
      <x:c r="C21" s="10"/>
      <x:c r="D21" s="10"/>
      <x:c r="G21" s="9"/>
    </x:row>
    <x:row r="22" ht="13.5" customHeight="1">
      <x:c r="A22" s="6">
        <x:v>19.0</x:v>
      </x:c>
      <x:c r="B22" s="9" t="s">
        <x:v>57</x:v>
      </x:c>
      <x:c r="C22" s="10"/>
      <x:c r="D22" s="10"/>
      <x:c r="G22" s="9"/>
    </x:row>
    <x:row r="23" ht="13.5" customHeight="1">
      <x:c r="A23" s="6">
        <x:v>20.0</x:v>
      </x:c>
      <x:c r="B23" s="9" t="s">
        <x:v>58</x:v>
      </x:c>
      <x:c r="C23" s="10"/>
      <x:c r="D23" s="10"/>
      <x:c r="G23" s="9"/>
    </x:row>
    <x:row r="24" ht="13.5" customHeight="1">
      <x:c r="A24" s="6">
        <x:v>21.0</x:v>
      </x:c>
      <x:c r="B24" s="9" t="s">
        <x:v>59</x:v>
      </x:c>
      <x:c r="C24" s="10"/>
      <x:c r="D24" s="10"/>
      <x:c r="G24" s="9"/>
    </x:row>
    <x:row r="25" ht="13.5" customHeight="1">
      <x:c r="A25" s="6">
        <x:v>22.0</x:v>
      </x:c>
      <x:c r="B25" s="9" t="s">
        <x:v>60</x:v>
      </x:c>
      <x:c r="C25" s="10"/>
      <x:c r="D25" s="10"/>
      <x:c r="G25" s="9"/>
    </x:row>
    <x:row r="26" ht="13.5" customHeight="1">
      <x:c r="A26" s="6">
        <x:v>23.0</x:v>
      </x:c>
      <x:c r="B26" s="9" t="s">
        <x:v>61</x:v>
      </x:c>
      <x:c r="C26" s="10"/>
      <x:c r="D26" s="10"/>
      <x:c r="G26" s="9"/>
    </x:row>
    <x:row r="27" ht="13.5" customHeight="1">
      <x:c r="A27" s="6">
        <x:v>24.0</x:v>
      </x:c>
      <x:c r="B27" s="9" t="s">
        <x:v>62</x:v>
      </x:c>
      <x:c r="C27" s="10"/>
      <x:c r="D27" s="10"/>
      <x:c r="G27" s="9"/>
    </x:row>
    <x:row r="28" ht="13.5" customHeight="1">
      <x:c r="A28" s="6">
        <x:v>25.0</x:v>
      </x:c>
      <x:c r="B28" s="9" t="s">
        <x:v>63</x:v>
      </x:c>
      <x:c r="C28" s="10"/>
      <x:c r="D28" s="10"/>
      <x:c r="G28" s="9"/>
    </x:row>
    <x:row r="29" ht="13.5" customHeight="1">
      <x:c r="A29" s="6">
        <x:v>26.0</x:v>
      </x:c>
      <x:c r="B29" s="9" t="s">
        <x:v>64</x:v>
      </x:c>
      <x:c r="C29" s="10"/>
      <x:c r="D29" s="10"/>
      <x:c r="G29" s="9"/>
    </x:row>
    <x:row r="30" ht="13.5" customHeight="1">
      <x:c r="A30" s="6">
        <x:v>27.0</x:v>
      </x:c>
      <x:c r="B30" s="9" t="s">
        <x:v>65</x:v>
      </x:c>
      <x:c r="C30" s="10"/>
      <x:c r="D30" s="14"/>
      <x:c r="G30" s="9"/>
    </x:row>
    <x:row r="31" ht="13.5" customHeight="1">
      <x:c r="A31" s="6">
        <x:v>28.0</x:v>
      </x:c>
      <x:c r="B31" s="9" t="s">
        <x:v>66</x:v>
      </x:c>
      <x:c r="C31" s="10"/>
      <x:c r="D31" s="14"/>
      <x:c r="G31" s="9"/>
    </x:row>
    <x:row r="32" ht="13.5" customHeight="1">
      <x:c r="A32" s="6">
        <x:v>29.0</x:v>
      </x:c>
      <x:c r="B32" s="9" t="s">
        <x:v>67</x:v>
      </x:c>
      <x:c r="C32" s="10"/>
      <x:c r="D32" s="14"/>
      <x:c r="G32" s="9"/>
    </x:row>
    <x:row r="33" ht="13.5" customHeight="1">
      <x:c r="A33" s="6">
        <x:v>30.0</x:v>
      </x:c>
      <x:c r="B33" s="9" t="s">
        <x:v>68</x:v>
      </x:c>
      <x:c r="C33" s="10"/>
      <x:c r="D33" s="14"/>
      <x:c r="G33" s="9"/>
    </x:row>
    <x:row r="34" ht="13.5" customHeight="1">
      <x:c r="A34" s="6">
        <x:v>31.0</x:v>
      </x:c>
      <x:c r="B34" s="9" t="s">
        <x:v>69</x:v>
      </x:c>
      <x:c r="C34" s="10"/>
      <x:c r="D34" s="14"/>
      <x:c r="G34" s="9"/>
    </x:row>
    <x:row r="35" ht="13.5" customHeight="1">
      <x:c r="A35" s="6">
        <x:v>32.0</x:v>
      </x:c>
      <x:c r="B35" s="9" t="s">
        <x:v>70</x:v>
      </x:c>
      <x:c r="C35" s="10"/>
      <x:c r="D35" s="10"/>
      <x:c r="G35" s="9"/>
    </x:row>
    <x:row r="36" ht="13.5" customHeight="1">
      <x:c r="A36" s="6">
        <x:v>33.0</x:v>
      </x:c>
      <x:c r="B36" s="9" t="s">
        <x:v>71</x:v>
      </x:c>
      <x:c r="C36" s="10"/>
      <x:c r="D36" s="10"/>
      <x:c r="G36" s="9"/>
    </x:row>
    <x:row r="37" ht="13.5" customHeight="1">
      <x:c r="A37" s="6">
        <x:v>34.0</x:v>
      </x:c>
      <x:c r="B37" s="9" t="s">
        <x:v>72</x:v>
      </x:c>
      <x:c r="C37" s="10"/>
      <x:c r="D37" s="10"/>
      <x:c r="G37" s="9"/>
    </x:row>
    <x:row r="38" ht="13.5" customHeight="1">
      <x:c r="A38" s="6">
        <x:v>35.0</x:v>
      </x:c>
      <x:c r="B38" s="9" t="s">
        <x:v>73</x:v>
      </x:c>
      <x:c r="C38" s="10"/>
      <x:c r="D38" s="10"/>
      <x:c r="G38" s="9"/>
    </x:row>
    <x:row r="39" ht="13.5" customHeight="1">
      <x:c r="A39" s="6">
        <x:v>36.0</x:v>
      </x:c>
      <x:c r="B39" s="9" t="s">
        <x:v>74</x:v>
      </x:c>
      <x:c r="C39" s="10"/>
      <x:c r="D39" s="14"/>
    </x:row>
    <x:row r="40" ht="13.5" customHeight="1">
      <x:c r="A40" s="6">
        <x:v>37.0</x:v>
      </x:c>
      <x:c r="B40" s="9" t="s">
        <x:v>75</x:v>
      </x:c>
      <x:c r="C40" s="10"/>
      <x:c r="D40" s="10"/>
    </x:row>
    <x:row r="41" ht="13.5" customHeight="1">
      <x:c r="A41" s="6">
        <x:v>38.0</x:v>
      </x:c>
      <x:c r="B41" s="9" t="s">
        <x:v>76</x:v>
      </x:c>
      <x:c r="C41" s="10"/>
      <x:c r="D41" s="10"/>
    </x:row>
    <x:row r="42" ht="13.5" customHeight="1">
      <x:c r="A42" s="6">
        <x:v>39.0</x:v>
      </x:c>
      <x:c r="B42" s="9" t="s">
        <x:v>77</x:v>
      </x:c>
      <x:c r="C42" s="10"/>
      <x:c r="D42" s="10"/>
    </x:row>
    <x:row r="43" ht="13.5" customHeight="1">
      <x:c r="A43" s="6">
        <x:v>40.0</x:v>
      </x:c>
      <x:c r="B43" s="9" t="s">
        <x:v>78</x:v>
      </x:c>
      <x:c r="C43" s="10"/>
      <x:c r="D43" s="10"/>
    </x:row>
    <x:row r="44" ht="13.5" customHeight="1">
      <x:c r="A44" s="6">
        <x:v>41.0</x:v>
      </x:c>
      <x:c r="B44" s="17"/>
      <x:c r="C44" s="10"/>
      <x:c r="D44" s="10"/>
    </x:row>
    <x:row r="45" ht="13.5" customHeight="1">
      <x:c r="A45" s="6">
        <x:v>42.0</x:v>
      </x:c>
      <x:c r="B45" s="17"/>
      <x:c r="C45" s="10"/>
      <x:c r="D45" s="10"/>
    </x:row>
    <x:row r="46" ht="13.5" customHeight="1">
      <x:c r="A46" s="6">
        <x:v>43.0</x:v>
      </x:c>
      <x:c r="B46" s="17"/>
      <x:c r="C46" s="10"/>
      <x:c r="D46" s="10"/>
    </x:row>
    <x:row r="47" ht="13.5" customHeight="1">
      <x:c r="A47" s="6">
        <x:v>44.0</x:v>
      </x:c>
      <x:c r="B47" s="17"/>
      <x:c r="C47" s="10"/>
      <x:c r="D47" s="10"/>
    </x:row>
    <x:row r="48" ht="13.5" customHeight="1">
      <x:c r="A48" s="6">
        <x:v>45.0</x:v>
      </x:c>
      <x:c r="B48" s="17"/>
      <x:c r="C48" s="10"/>
      <x:c r="D48" s="10"/>
    </x:row>
    <x:row r="49" ht="13.5" customHeight="1">
      <x:c r="A49" s="6"/>
      <x:c r="B49" s="17"/>
      <x:c r="C49" s="10"/>
      <x:c r="D49" s="10"/>
    </x:row>
    <x:row r="50" ht="13.5" customHeight="1">
      <x:c r="A50" s="6"/>
      <x:c r="B50" s="17"/>
      <x:c r="C50" s="10"/>
      <x:c r="D50" s="10"/>
    </x:row>
    <x:row r="51" ht="13.5" customHeight="1">
      <x:c r="A51" s="6"/>
      <x:c r="B51" s="17"/>
      <x:c r="C51" s="10"/>
      <x:c r="D51" s="10"/>
    </x:row>
    <x:row r="52" ht="13.5" customHeight="1">
      <x:c r="A52" s="6"/>
      <x:c r="B52" s="17"/>
      <x:c r="C52" s="10"/>
      <x:c r="D52" s="10"/>
    </x:row>
    <x:row r="53" ht="13.5" customHeight="1">
      <x:c r="A53" s="6"/>
      <x:c r="B53" s="17"/>
      <x:c r="C53" s="10"/>
      <x:c r="D53" s="10"/>
    </x:row>
    <x:row r="54" ht="13.5" customHeight="1">
      <x:c r="A54" s="6"/>
      <x:c r="B54" s="17"/>
      <x:c r="C54" s="10"/>
      <x:c r="D54" s="10"/>
    </x:row>
    <x:row r="55" ht="13.5" customHeight="1">
      <x:c r="A55" s="6"/>
      <x:c r="B55" s="17"/>
      <x:c r="C55" s="10"/>
      <x:c r="D55" s="10"/>
    </x:row>
    <x:row r="56" ht="13.5" customHeight="1">
      <x:c r="A56" s="6"/>
      <x:c r="B56" s="17"/>
      <x:c r="C56" s="10"/>
      <x:c r="D56" s="10"/>
    </x:row>
    <x:row r="57" ht="13.5" customHeight="1">
      <x:c r="A57" s="6"/>
      <x:c r="B57" s="17"/>
      <x:c r="C57" s="10"/>
      <x:c r="D57" s="10"/>
    </x:row>
    <x:row r="58" ht="13.5" customHeight="1">
      <x:c r="A58" s="6"/>
      <x:c r="B58" s="17"/>
      <x:c r="C58" s="10"/>
      <x:c r="D58" s="10"/>
    </x:row>
    <x:row r="59" ht="13.5" customHeight="1">
      <x:c r="A59" s="6"/>
      <x:c r="B59" s="17"/>
      <x:c r="C59" s="10"/>
      <x:c r="D59" s="10"/>
    </x:row>
    <x:row r="60" ht="13.5" customHeight="1">
      <x:c r="A60" s="6"/>
      <x:c r="B60" s="17"/>
      <x:c r="C60" s="10"/>
      <x:c r="D60" s="10"/>
    </x:row>
    <x:row r="61" ht="13.5" customHeight="1">
      <x:c r="A61" s="6"/>
      <x:c r="B61" s="17"/>
      <x:c r="C61" s="10"/>
      <x:c r="D61" s="10"/>
    </x:row>
    <x:row r="62" ht="13.5" customHeight="1">
      <x:c r="A62" s="6"/>
      <x:c r="B62" s="17"/>
      <x:c r="C62" s="10"/>
      <x:c r="D62" s="10"/>
    </x:row>
    <x:row r="63" ht="13.5" customHeight="1">
      <x:c r="A63" s="6"/>
      <x:c r="B63" s="17"/>
      <x:c r="C63" s="10"/>
      <x:c r="D63" s="10"/>
    </x:row>
    <x:row r="64" ht="13.5" customHeight="1">
      <x:c r="A64" s="6"/>
      <x:c r="B64" s="17"/>
      <x:c r="C64" s="10"/>
      <x:c r="D64" s="10"/>
    </x:row>
    <x:row r="65" ht="13.5" customHeight="1">
      <x:c r="A65" s="6"/>
      <x:c r="B65" s="17"/>
      <x:c r="C65" s="10"/>
      <x:c r="D65" s="10"/>
    </x:row>
    <x:row r="66" ht="13.5" customHeight="1">
      <x:c r="A66" s="6"/>
      <x:c r="B66" s="17"/>
      <x:c r="C66" s="10"/>
      <x:c r="D66" s="10"/>
    </x:row>
    <x:row r="67" ht="13.5" customHeight="1">
      <x:c r="A67" s="6"/>
      <x:c r="B67" s="17"/>
      <x:c r="C67" s="10"/>
      <x:c r="D67" s="10"/>
    </x:row>
    <x:row r="68" ht="13.5" customHeight="1">
      <x:c r="A68" s="6"/>
      <x:c r="B68" s="17"/>
      <x:c r="C68" s="10"/>
      <x:c r="D68" s="10"/>
    </x:row>
    <x:row r="69" ht="13.5" customHeight="1">
      <x:c r="A69" s="6"/>
      <x:c r="B69" s="17"/>
      <x:c r="C69" s="10"/>
      <x:c r="D69" s="10"/>
    </x:row>
    <x:row r="70" ht="13.5" customHeight="1">
      <x:c r="A70" s="6"/>
      <x:c r="B70" s="17"/>
      <x:c r="C70" s="10"/>
      <x:c r="D70" s="10"/>
    </x:row>
    <x:row r="71" ht="13.5" customHeight="1">
      <x:c r="A71" s="6"/>
      <x:c r="B71" s="17"/>
      <x:c r="C71" s="10"/>
      <x:c r="D71" s="10"/>
    </x:row>
    <x:row r="72" ht="13.5" customHeight="1">
      <x:c r="A72" s="6"/>
      <x:c r="B72" s="17"/>
      <x:c r="C72" s="10"/>
      <x:c r="D72" s="10"/>
    </x:row>
    <x:row r="73" ht="13.5" customHeight="1">
      <x:c r="A73" s="6"/>
      <x:c r="B73" s="17"/>
      <x:c r="C73" s="10"/>
      <x:c r="D73" s="10"/>
    </x:row>
    <x:row r="74" ht="13.5" customHeight="1">
      <x:c r="B74" s="2"/>
    </x:row>
    <x:row r="75" ht="13.5" customHeight="1">
      <x:c r="B75" s="2"/>
    </x:row>
    <x:row r="76" ht="13.5" customHeight="1">
      <x:c r="B76" s="2"/>
    </x:row>
    <x:row r="77" ht="13.5" customHeight="1">
      <x:c r="B77" s="2"/>
    </x:row>
    <x:row r="78" ht="13.5" customHeight="1">
      <x:c r="B78" s="2"/>
    </x:row>
    <x:row r="79" ht="13.5" customHeight="1">
      <x:c r="B79" s="2"/>
    </x:row>
    <x:row r="80" ht="13.5" customHeight="1">
      <x:c r="B80" s="2"/>
    </x:row>
    <x:row r="81" ht="13.5" customHeight="1">
      <x:c r="B81" s="2"/>
    </x:row>
    <x:row r="82" ht="13.5" customHeight="1">
      <x:c r="B82" s="2"/>
    </x:row>
    <x:row r="83" ht="13.5" customHeight="1">
      <x:c r="B83" s="2"/>
    </x:row>
    <x:row r="84" ht="13.5" customHeight="1">
      <x:c r="B84" s="2"/>
    </x:row>
    <x:row r="85" ht="13.5" customHeight="1">
      <x:c r="B85" s="2"/>
    </x:row>
    <x:row r="86" ht="13.5" customHeight="1">
      <x:c r="B86" s="2"/>
    </x:row>
    <x:row r="87" ht="13.5" customHeight="1">
      <x:c r="B87" s="2"/>
    </x:row>
    <x:row r="88" ht="13.5" customHeight="1">
      <x:c r="B88" s="2"/>
    </x:row>
    <x:row r="89" ht="13.5" customHeight="1">
      <x:c r="B89" s="2"/>
    </x:row>
    <x:row r="90" ht="13.5" customHeight="1">
      <x:c r="B90" s="2"/>
    </x:row>
    <x:row r="91" ht="13.5" customHeight="1">
      <x:c r="B91" s="2"/>
    </x:row>
    <x:row r="92" ht="13.5" customHeight="1">
      <x:c r="B92" s="2"/>
    </x:row>
    <x:row r="93" ht="13.5" customHeight="1">
      <x:c r="B93" s="2"/>
    </x:row>
    <x:row r="94" ht="13.5" customHeight="1">
      <x:c r="B94" s="2"/>
    </x:row>
    <x:row r="95" ht="13.5" customHeight="1">
      <x:c r="B95" s="2"/>
    </x:row>
    <x:row r="96" ht="13.5" customHeight="1">
      <x:c r="B96" s="2"/>
    </x:row>
    <x:row r="97" ht="13.5" customHeight="1">
      <x:c r="B97" s="2"/>
    </x:row>
    <x:row r="98" ht="13.5" customHeight="1">
      <x:c r="B98" s="2"/>
    </x:row>
    <x:row r="99" ht="13.5" customHeight="1">
      <x:c r="B99" s="2"/>
    </x:row>
    <x:row r="100" ht="13.5" customHeight="1">
      <x:c r="B100" s="2"/>
    </x:row>
    <x:row r="101" ht="13.5" customHeight="1">
      <x:c r="B101" s="2"/>
    </x:row>
    <x:row r="102" ht="13.5" customHeight="1">
      <x:c r="B102" s="2"/>
    </x:row>
    <x:row r="103" ht="13.5" customHeight="1">
      <x:c r="B103" s="2"/>
    </x:row>
    <x:row r="104" ht="13.5" customHeight="1">
      <x:c r="B104" s="2"/>
    </x:row>
    <x:row r="105" ht="13.5" customHeight="1">
      <x:c r="B105" s="2"/>
    </x:row>
    <x:row r="106" ht="13.5" customHeight="1">
      <x:c r="B106" s="2"/>
    </x:row>
    <x:row r="107" ht="13.5" customHeight="1">
      <x:c r="B107" s="2"/>
    </x:row>
    <x:row r="108" ht="13.5" customHeight="1">
      <x:c r="B108" s="2"/>
    </x:row>
    <x:row r="109" ht="13.5" customHeight="1">
      <x:c r="B109" s="2"/>
    </x:row>
    <x:row r="110" ht="13.5" customHeight="1">
      <x:c r="B110" s="2"/>
    </x:row>
    <x:row r="111" ht="13.5" customHeight="1">
      <x:c r="B111" s="2"/>
    </x:row>
    <x:row r="112" ht="13.5" customHeight="1">
      <x:c r="B112" s="2"/>
    </x:row>
    <x:row r="113" ht="13.5" customHeight="1">
      <x:c r="B113" s="2"/>
    </x:row>
    <x:row r="114" ht="13.5" customHeight="1">
      <x:c r="B114" s="2"/>
    </x:row>
    <x:row r="115" ht="13.5" customHeight="1">
      <x:c r="B115" s="2"/>
    </x:row>
    <x:row r="116" ht="13.5" customHeight="1">
      <x:c r="B116" s="2"/>
    </x:row>
    <x:row r="117" ht="13.5" customHeight="1">
      <x:c r="B117" s="2"/>
    </x:row>
    <x:row r="118" ht="13.5" customHeight="1">
      <x:c r="B118" s="2"/>
    </x:row>
    <x:row r="119" ht="13.5" customHeight="1">
      <x:c r="B119" s="2"/>
    </x:row>
    <x:row r="120" ht="13.5" customHeight="1">
      <x:c r="B120" s="2"/>
    </x:row>
    <x:row r="121" ht="13.5" customHeight="1">
      <x:c r="B121" s="2"/>
    </x:row>
    <x:row r="122" ht="13.5" customHeight="1">
      <x:c r="B122" s="2"/>
    </x:row>
    <x:row r="123" ht="13.5" customHeight="1">
      <x:c r="B123" s="2"/>
    </x:row>
    <x:row r="124" ht="13.5" customHeight="1">
      <x:c r="B124" s="2"/>
    </x:row>
    <x:row r="125" ht="13.5" customHeight="1">
      <x:c r="B125" s="2"/>
    </x:row>
    <x:row r="126" ht="13.5" customHeight="1">
      <x:c r="B126" s="2"/>
    </x:row>
    <x:row r="127" ht="13.5" customHeight="1">
      <x:c r="B127" s="2"/>
    </x:row>
    <x:row r="128" ht="13.5" customHeight="1">
      <x:c r="B128" s="2"/>
    </x:row>
    <x:row r="129" ht="13.5" customHeight="1">
      <x:c r="B129" s="2"/>
    </x:row>
    <x:row r="130" ht="13.5" customHeight="1">
      <x:c r="B130" s="2"/>
    </x:row>
    <x:row r="131" ht="13.5" customHeight="1">
      <x:c r="B131" s="2"/>
    </x:row>
    <x:row r="132" ht="13.5" customHeight="1">
      <x:c r="B132" s="2"/>
    </x:row>
    <x:row r="133" ht="13.5" customHeight="1">
      <x:c r="B133" s="2"/>
    </x:row>
    <x:row r="134" ht="13.5" customHeight="1">
      <x:c r="B134" s="2"/>
    </x:row>
    <x:row r="135" ht="13.5" customHeight="1">
      <x:c r="B135" s="2"/>
    </x:row>
    <x:row r="136" ht="13.5" customHeight="1">
      <x:c r="B136" s="2"/>
    </x:row>
    <x:row r="137" ht="13.5" customHeight="1">
      <x:c r="B137" s="2"/>
    </x:row>
    <x:row r="138" ht="13.5" customHeight="1">
      <x:c r="B138" s="2"/>
    </x:row>
    <x:row r="139" ht="13.5" customHeight="1">
      <x:c r="B139" s="2"/>
    </x:row>
    <x:row r="140" ht="13.5" customHeight="1">
      <x:c r="B140" s="2"/>
    </x:row>
    <x:row r="141" ht="13.5" customHeight="1">
      <x:c r="B141" s="2"/>
    </x:row>
    <x:row r="142" ht="13.5" customHeight="1">
      <x:c r="B142" s="2"/>
    </x:row>
    <x:row r="143" ht="13.5" customHeight="1">
      <x:c r="B143" s="2"/>
    </x:row>
    <x:row r="144" ht="13.5" customHeight="1">
      <x:c r="B144" s="2"/>
    </x:row>
    <x:row r="145" ht="13.5" customHeight="1">
      <x:c r="B145" s="2"/>
    </x:row>
    <x:row r="146" ht="13.5" customHeight="1">
      <x:c r="B146" s="2"/>
    </x:row>
    <x:row r="147" ht="13.5" customHeight="1">
      <x:c r="B147" s="2"/>
    </x:row>
    <x:row r="148" ht="13.5" customHeight="1">
      <x:c r="B148" s="2"/>
    </x:row>
    <x:row r="149" ht="13.5" customHeight="1">
      <x:c r="B149" s="2"/>
    </x:row>
    <x:row r="150" ht="13.5" customHeight="1">
      <x:c r="B150" s="2"/>
    </x:row>
    <x:row r="151" ht="13.5" customHeight="1">
      <x:c r="B151" s="2"/>
    </x:row>
    <x:row r="152" ht="13.5" customHeight="1">
      <x:c r="B152" s="2"/>
    </x:row>
    <x:row r="153" ht="13.5" customHeight="1">
      <x:c r="B153" s="2"/>
    </x:row>
    <x:row r="154" ht="13.5" customHeight="1">
      <x:c r="B154" s="2"/>
    </x:row>
    <x:row r="155" ht="13.5" customHeight="1">
      <x:c r="B155" s="2"/>
    </x:row>
    <x:row r="156" ht="13.5" customHeight="1">
      <x:c r="B156" s="2"/>
    </x:row>
    <x:row r="157" ht="13.5" customHeight="1">
      <x:c r="B157" s="2"/>
    </x:row>
    <x:row r="158" ht="13.5" customHeight="1">
      <x:c r="B158" s="2"/>
    </x:row>
    <x:row r="159" ht="13.5" customHeight="1">
      <x:c r="B159" s="2"/>
    </x:row>
    <x:row r="160" ht="13.5" customHeight="1">
      <x:c r="B160" s="2"/>
    </x:row>
    <x:row r="161" ht="13.5" customHeight="1">
      <x:c r="B161" s="2"/>
    </x:row>
    <x:row r="162" ht="13.5" customHeight="1">
      <x:c r="B162" s="2"/>
    </x:row>
    <x:row r="163" ht="13.5" customHeight="1">
      <x:c r="B163" s="2"/>
    </x:row>
    <x:row r="164" ht="13.5" customHeight="1">
      <x:c r="B164" s="2"/>
    </x:row>
    <x:row r="165" ht="13.5" customHeight="1">
      <x:c r="B165" s="2"/>
    </x:row>
    <x:row r="166" ht="13.5" customHeight="1">
      <x:c r="B166" s="2"/>
    </x:row>
    <x:row r="167" ht="13.5" customHeight="1">
      <x:c r="B167" s="2"/>
    </x:row>
    <x:row r="168" ht="13.5" customHeight="1">
      <x:c r="B168" s="2"/>
    </x:row>
    <x:row r="169" ht="13.5" customHeight="1">
      <x:c r="B169" s="2"/>
    </x:row>
    <x:row r="170" ht="13.5" customHeight="1">
      <x:c r="B170" s="2"/>
    </x:row>
    <x:row r="171" ht="13.5" customHeight="1">
      <x:c r="B171" s="2"/>
    </x:row>
    <x:row r="172" ht="13.5" customHeight="1">
      <x:c r="B172" s="2"/>
    </x:row>
    <x:row r="173" ht="13.5" customHeight="1">
      <x:c r="B173" s="2"/>
    </x:row>
    <x:row r="174" ht="13.5" customHeight="1">
      <x:c r="B174" s="2"/>
    </x:row>
    <x:row r="175" ht="13.5" customHeight="1">
      <x:c r="B175" s="2"/>
    </x:row>
    <x:row r="176" ht="13.5" customHeight="1">
      <x:c r="B176" s="2"/>
    </x:row>
    <x:row r="177" ht="13.5" customHeight="1">
      <x:c r="B177" s="2"/>
    </x:row>
    <x:row r="178" ht="13.5" customHeight="1">
      <x:c r="B178" s="2"/>
    </x:row>
    <x:row r="179" ht="13.5" customHeight="1">
      <x:c r="B179" s="2"/>
    </x:row>
    <x:row r="180" ht="13.5" customHeight="1">
      <x:c r="B180" s="2"/>
    </x:row>
    <x:row r="181" ht="13.5" customHeight="1">
      <x:c r="B181" s="2"/>
    </x:row>
    <x:row r="182" ht="13.5" customHeight="1">
      <x:c r="B182" s="2"/>
    </x:row>
    <x:row r="183" ht="13.5" customHeight="1">
      <x:c r="B183" s="2"/>
    </x:row>
    <x:row r="184" ht="13.5" customHeight="1">
      <x:c r="B184" s="2"/>
    </x:row>
    <x:row r="185" ht="13.5" customHeight="1">
      <x:c r="B185" s="2"/>
    </x:row>
    <x:row r="186" ht="13.5" customHeight="1">
      <x:c r="B186" s="2"/>
    </x:row>
    <x:row r="187" ht="13.5" customHeight="1">
      <x:c r="B187" s="2"/>
    </x:row>
    <x:row r="188" ht="13.5" customHeight="1">
      <x:c r="B188" s="2"/>
    </x:row>
    <x:row r="189" ht="13.5" customHeight="1">
      <x:c r="B189" s="2"/>
    </x:row>
    <x:row r="190" ht="13.5" customHeight="1">
      <x:c r="B190" s="2"/>
    </x:row>
    <x:row r="191" ht="13.5" customHeight="1">
      <x:c r="B191" s="2"/>
    </x:row>
    <x:row r="192" ht="13.5" customHeight="1">
      <x:c r="B192" s="2"/>
    </x:row>
    <x:row r="193" ht="13.5" customHeight="1">
      <x:c r="B193" s="2"/>
    </x:row>
    <x:row r="194" ht="13.5" customHeight="1">
      <x:c r="B194" s="2"/>
    </x:row>
    <x:row r="195" ht="13.5" customHeight="1">
      <x:c r="B195" s="2"/>
    </x:row>
    <x:row r="196" ht="13.5" customHeight="1">
      <x:c r="B196" s="2"/>
    </x:row>
    <x:row r="197" ht="13.5" customHeight="1">
      <x:c r="B197" s="2"/>
    </x:row>
    <x:row r="198" ht="13.5" customHeight="1">
      <x:c r="B198" s="2"/>
    </x:row>
    <x:row r="199" ht="13.5" customHeight="1">
      <x:c r="B199" s="2"/>
    </x:row>
    <x:row r="200" ht="13.5" customHeight="1">
      <x:c r="B200" s="2"/>
    </x:row>
    <x:row r="201" ht="13.5" customHeight="1">
      <x:c r="B201" s="2"/>
    </x:row>
    <x:row r="202" ht="13.5" customHeight="1">
      <x:c r="B202" s="2"/>
    </x:row>
    <x:row r="203" ht="13.5" customHeight="1">
      <x:c r="B203" s="2"/>
    </x:row>
    <x:row r="204" ht="13.5" customHeight="1">
      <x:c r="B204" s="2"/>
    </x:row>
    <x:row r="205" ht="13.5" customHeight="1">
      <x:c r="B205" s="2"/>
    </x:row>
    <x:row r="206" ht="13.5" customHeight="1">
      <x:c r="B206" s="2"/>
    </x:row>
    <x:row r="207" ht="13.5" customHeight="1">
      <x:c r="B207" s="2"/>
    </x:row>
    <x:row r="208" ht="13.5" customHeight="1">
      <x:c r="B208" s="2"/>
    </x:row>
    <x:row r="209" ht="13.5" customHeight="1">
      <x:c r="B209" s="2"/>
    </x:row>
    <x:row r="210" ht="13.5" customHeight="1">
      <x:c r="B210" s="2"/>
    </x:row>
    <x:row r="211" ht="13.5" customHeight="1">
      <x:c r="B211" s="2"/>
    </x:row>
    <x:row r="212" ht="13.5" customHeight="1">
      <x:c r="B212" s="2"/>
    </x:row>
    <x:row r="213" ht="13.5" customHeight="1">
      <x:c r="B213" s="2"/>
    </x:row>
    <x:row r="214" ht="13.5" customHeight="1">
      <x:c r="B214" s="2"/>
    </x:row>
    <x:row r="215" ht="13.5" customHeight="1">
      <x:c r="B215" s="2"/>
    </x:row>
    <x:row r="216" ht="13.5" customHeight="1">
      <x:c r="B216" s="2"/>
    </x:row>
    <x:row r="217" ht="13.5" customHeight="1">
      <x:c r="B217" s="2"/>
    </x:row>
    <x:row r="218" ht="13.5" customHeight="1">
      <x:c r="B218" s="2"/>
    </x:row>
    <x:row r="219" ht="13.5" customHeight="1">
      <x:c r="B219" s="2"/>
    </x:row>
    <x:row r="220" ht="13.5" customHeight="1">
      <x:c r="B220" s="2"/>
    </x:row>
    <x:row r="221" ht="13.5" customHeight="1">
      <x:c r="B221" s="2"/>
    </x:row>
    <x:row r="222" ht="13.5" customHeight="1">
      <x:c r="B222" s="2"/>
    </x:row>
    <x:row r="223" ht="13.5" customHeight="1">
      <x:c r="B223" s="2"/>
    </x:row>
    <x:row r="224" ht="13.5" customHeight="1">
      <x:c r="B224" s="2"/>
    </x:row>
    <x:row r="225" ht="13.5" customHeight="1">
      <x:c r="B225" s="2"/>
    </x:row>
    <x:row r="226" ht="13.5" customHeight="1">
      <x:c r="B226" s="2"/>
    </x:row>
    <x:row r="227" ht="13.5" customHeight="1">
      <x:c r="B227" s="2"/>
    </x:row>
    <x:row r="228" ht="13.5" customHeight="1">
      <x:c r="B228" s="2"/>
    </x:row>
    <x:row r="229" ht="13.5" customHeight="1">
      <x:c r="B229" s="2"/>
    </x:row>
    <x:row r="230" ht="13.5" customHeight="1">
      <x:c r="B230" s="2"/>
    </x:row>
    <x:row r="231" ht="13.5" customHeight="1">
      <x:c r="B231" s="2"/>
    </x:row>
    <x:row r="232" ht="13.5" customHeight="1">
      <x:c r="B232" s="2"/>
    </x:row>
    <x:row r="233" ht="13.5" customHeight="1">
      <x:c r="B233" s="2"/>
    </x:row>
    <x:row r="234" ht="13.5" customHeight="1">
      <x:c r="B234" s="2"/>
    </x:row>
    <x:row r="235" ht="13.5" customHeight="1">
      <x:c r="B235" s="2"/>
    </x:row>
    <x:row r="236" ht="13.5" customHeight="1">
      <x:c r="B236" s="2"/>
    </x:row>
    <x:row r="237" ht="13.5" customHeight="1">
      <x:c r="B237" s="2"/>
    </x:row>
    <x:row r="238" ht="13.5" customHeight="1">
      <x:c r="B238" s="2"/>
    </x:row>
    <x:row r="239" ht="13.5" customHeight="1">
      <x:c r="B239" s="2"/>
    </x:row>
    <x:row r="240" ht="13.5" customHeight="1">
      <x:c r="B240" s="2"/>
    </x:row>
    <x:row r="241" ht="13.5" customHeight="1">
      <x:c r="B241" s="2"/>
    </x:row>
    <x:row r="242" ht="13.5" customHeight="1">
      <x:c r="B242" s="2"/>
    </x:row>
    <x:row r="243" ht="13.5" customHeight="1">
      <x:c r="B243" s="2"/>
    </x:row>
    <x:row r="244" ht="13.5" customHeight="1">
      <x:c r="B244" s="2"/>
    </x:row>
    <x:row r="245" ht="13.5" customHeight="1">
      <x:c r="B245" s="2"/>
    </x:row>
    <x:row r="246" ht="13.5" customHeight="1">
      <x:c r="B246" s="2"/>
    </x:row>
    <x:row r="247" ht="13.5" customHeight="1">
      <x:c r="B247" s="2"/>
    </x:row>
    <x:row r="248" ht="13.5" customHeight="1">
      <x:c r="B248" s="2"/>
    </x:row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9" customWidth="1"/>
    <x:col min="2" max="2" width="10" customWidth="1"/>
    <x:col min="3" max="3" width="9" customWidth="1"/>
    <x:col min="4" max="4" width="14" customWidth="1"/>
    <x:col min="5" max="5" width="28" customWidth="1"/>
    <x:col min="6" max="6" width="16" customWidth="1"/>
    <x:col min="7" max="7" width="13" customWidth="1"/>
    <x:col min="8" max="8" width="10" customWidth="1"/>
    <x:col min="9" max="9" width="17" customWidth="1"/>
    <x:col min="10" max="10" width="30" customWidth="1"/>
  </x:cols>
  <x:sheetData>
    <x:row r="1" ht="19.5" customHeight="1">
      <x:c r="A1" s="1" t="s">
        <x:v>79</x:v>
      </x:c>
    </x:row>
    <x:row r="2" ht="13.5" customHeight="1">
      <x:c r="A2" s="3" t="s">
        <x:v>80</x:v>
      </x:c>
    </x:row>
    <x:row r="3" ht="13.5" customHeight="1"/>
    <x:row r="4" ht="13.5" customHeight="1">
      <x:c r="A4" s="4" t="s">
        <x:v>81</x:v>
      </x:c>
      <x:c r="B4" s="4" t="s">
        <x:v>82</x:v>
      </x:c>
      <x:c r="C4" s="4" t="s">
        <x:v>83</x:v>
      </x:c>
      <x:c r="D4" s="4" t="s">
        <x:v>84</x:v>
      </x:c>
      <x:c r="E4" s="4" t="s">
        <x:v>85</x:v>
      </x:c>
      <x:c r="F4" s="4" t="s">
        <x:v>86</x:v>
      </x:c>
      <x:c r="G4" s="4" t="s">
        <x:v>87</x:v>
      </x:c>
      <x:c r="H4" s="4" t="s">
        <x:v>88</x:v>
      </x:c>
      <x:c r="I4" s="4" t="s">
        <x:v>89</x:v>
      </x:c>
      <x:c r="J4" s="4" t="s">
        <x:v>38</x:v>
      </x:c>
    </x:row>
    <x:row r="5" ht="13.5" customHeight="1">
      <x:c r="A5" s="6">
        <x:v>1.0</x:v>
      </x:c>
      <x:c r="B5" s="6" t="s">
        <x:v>90</x:v>
      </x:c>
      <x:c r="C5" s="6">
        <x:v>1.0</x:v>
      </x:c>
      <x:c r="D5" s="6">
        <x:v>1.0</x:v>
      </x:c>
      <x:c r="E5" s="6" t="str">
        <x:f>IFERROR(IF(VLOOKUP(D5,Giocatori!$A$4:$C$48,2,FALSE)&lt;&gt;"",VLOOKUP(D5,Giocatori!$A$4:$C$48,2,FALSE),"Giocatore "&amp;D5),"Giocatore "&amp;D5)</x:f>
        <x:v>Zio Raffaele</x:v>
      </x:c>
      <x:c r="F5" s="10"/>
      <x:c r="G5" s="10"/>
      <x:c r="H5" s="10">
        <x:v>0.0</x:v>
      </x:c>
      <x:c r="I5" s="6" t="str">
        <x:f t="shared" ref="I5:I154" si="1">IF(OR(G5="",G5&lt;1,G5&gt;5),"",CHOOSE(G5,9,6,4,2,1)+2*IF(H5="",0,H5))</x:f>
      </x:c>
      <x:c r="J5" s="10"/>
    </x:row>
    <x:row r="6" ht="13.5" customHeight="1">
      <x:c r="A6" s="6">
        <x:v>1.0</x:v>
      </x:c>
      <x:c r="B6" s="6" t="s">
        <x:v>90</x:v>
      </x:c>
      <x:c r="C6" s="6">
        <x:v>2.0</x:v>
      </x:c>
      <x:c r="D6" s="6">
        <x:v>2.0</x:v>
      </x:c>
      <x:c r="E6" s="6" t="str">
        <x:f>IFERROR(IF(VLOOKUP(D6,Giocatori!$A$4:$C$48,2,FALSE)&lt;&gt;"",VLOOKUP(D6,Giocatori!$A$4:$C$48,2,FALSE),"Giocatore "&amp;D6),"Giocatore "&amp;D6)</x:f>
        <x:v>Nicola Mauro</x:v>
      </x:c>
      <x:c r="F6" s="10"/>
      <x:c r="G6" s="10"/>
      <x:c r="H6" s="10">
        <x:v>0.0</x:v>
      </x:c>
      <x:c r="I6" s="6" t="str">
        <x:f t="shared" si="1"/>
      </x:c>
      <x:c r="J6" s="10"/>
    </x:row>
    <x:row r="7" ht="13.5" customHeight="1">
      <x:c r="A7" s="6">
        <x:v>1.0</x:v>
      </x:c>
      <x:c r="B7" s="6" t="s">
        <x:v>90</x:v>
      </x:c>
      <x:c r="C7" s="6">
        <x:v>3.0</x:v>
      </x:c>
      <x:c r="D7" s="6">
        <x:v>3.0</x:v>
      </x:c>
      <x:c r="E7" s="6" t="str">
        <x:f>IFERROR(IF(VLOOKUP(D7,Giocatori!$A$4:$C$48,2,FALSE)&lt;&gt;"",VLOOKUP(D7,Giocatori!$A$4:$C$48,2,FALSE),"Giocatore "&amp;D7),"Giocatore "&amp;D7)</x:f>
        <x:v>Beracci Lucio</x:v>
      </x:c>
      <x:c r="F7" s="10"/>
      <x:c r="G7" s="10"/>
      <x:c r="H7" s="10">
        <x:v>0.0</x:v>
      </x:c>
      <x:c r="I7" s="6" t="str">
        <x:f t="shared" si="1"/>
      </x:c>
      <x:c r="J7" s="10"/>
    </x:row>
    <x:row r="8" ht="13.5" customHeight="1">
      <x:c r="A8" s="6">
        <x:v>1.0</x:v>
      </x:c>
      <x:c r="B8" s="6" t="s">
        <x:v>90</x:v>
      </x:c>
      <x:c r="C8" s="6">
        <x:v>4.0</x:v>
      </x:c>
      <x:c r="D8" s="6">
        <x:v>4.0</x:v>
      </x:c>
      <x:c r="E8" s="6" t="str">
        <x:f>IFERROR(IF(VLOOKUP(D8,Giocatori!$A$4:$C$48,2,FALSE)&lt;&gt;"",VLOOKUP(D8,Giocatori!$A$4:$C$48,2,FALSE),"Giocatore "&amp;D8),"Giocatore "&amp;D8)</x:f>
        <x:v>Annunziata Michele</x:v>
      </x:c>
      <x:c r="F8" s="10"/>
      <x:c r="G8" s="10"/>
      <x:c r="H8" s="10">
        <x:v>0.0</x:v>
      </x:c>
      <x:c r="I8" s="6" t="str">
        <x:f t="shared" si="1"/>
      </x:c>
      <x:c r="J8" s="10"/>
    </x:row>
    <x:row r="9" ht="13.5" customHeight="1">
      <x:c r="A9" s="6">
        <x:v>1.0</x:v>
      </x:c>
      <x:c r="B9" s="6" t="s">
        <x:v>90</x:v>
      </x:c>
      <x:c r="C9" s="6">
        <x:v>5.0</x:v>
      </x:c>
      <x:c r="D9" s="6">
        <x:v>5.0</x:v>
      </x:c>
      <x:c r="E9" s="6" t="str">
        <x:f>IFERROR(IF(VLOOKUP(D9,Giocatori!$A$4:$C$48,2,FALSE)&lt;&gt;"",VLOOKUP(D9,Giocatori!$A$4:$C$48,2,FALSE),"Giocatore "&amp;D9),"Giocatore "&amp;D9)</x:f>
        <x:v>La Marca Carlo</x:v>
      </x:c>
      <x:c r="F9" s="10"/>
      <x:c r="G9" s="10"/>
      <x:c r="H9" s="10">
        <x:v>0.0</x:v>
      </x:c>
      <x:c r="I9" s="6" t="str">
        <x:f t="shared" si="1"/>
      </x:c>
      <x:c r="J9" s="10"/>
    </x:row>
    <x:row r="10" ht="13.5" customHeight="1">
      <x:c r="A10" s="6">
        <x:v>1.0</x:v>
      </x:c>
      <x:c r="B10" s="6" t="s">
        <x:v>91</x:v>
      </x:c>
      <x:c r="C10" s="6">
        <x:v>1.0</x:v>
      </x:c>
      <x:c r="D10" s="6">
        <x:v>6.0</x:v>
      </x:c>
      <x:c r="E10" s="6" t="str">
        <x:f>IFERROR(IF(VLOOKUP(D10,Giocatori!$A$4:$C$48,2,FALSE)&lt;&gt;"",VLOOKUP(D10,Giocatori!$A$4:$C$48,2,FALSE),"Giocatore "&amp;D10),"Giocatore "&amp;D10)</x:f>
        <x:v>Sommese Antonio</x:v>
      </x:c>
      <x:c r="F10" s="10"/>
      <x:c r="G10" s="10"/>
      <x:c r="H10" s="10">
        <x:v>0.0</x:v>
      </x:c>
      <x:c r="I10" s="6" t="str">
        <x:f t="shared" si="1"/>
      </x:c>
      <x:c r="J10" s="10"/>
    </x:row>
    <x:row r="11" ht="13.5" customHeight="1">
      <x:c r="A11" s="6">
        <x:v>1.0</x:v>
      </x:c>
      <x:c r="B11" s="6" t="s">
        <x:v>91</x:v>
      </x:c>
      <x:c r="C11" s="6">
        <x:v>2.0</x:v>
      </x:c>
      <x:c r="D11" s="6">
        <x:v>7.0</x:v>
      </x:c>
      <x:c r="E11" s="6" t="str">
        <x:f>IFERROR(IF(VLOOKUP(D11,Giocatori!$A$4:$C$48,2,FALSE)&lt;&gt;"",VLOOKUP(D11,Giocatori!$A$4:$C$48,2,FALSE),"Giocatore "&amp;D11),"Giocatore "&amp;D11)</x:f>
        <x:v>Notaro massimo</x:v>
      </x:c>
      <x:c r="F11" s="10"/>
      <x:c r="G11" s="10"/>
      <x:c r="H11" s="10">
        <x:v>0.0</x:v>
      </x:c>
      <x:c r="I11" s="6" t="str">
        <x:f t="shared" si="1"/>
      </x:c>
      <x:c r="J11" s="10"/>
    </x:row>
    <x:row r="12" ht="13.5" customHeight="1">
      <x:c r="A12" s="6">
        <x:v>1.0</x:v>
      </x:c>
      <x:c r="B12" s="6" t="s">
        <x:v>91</x:v>
      </x:c>
      <x:c r="C12" s="6">
        <x:v>3.0</x:v>
      </x:c>
      <x:c r="D12" s="6">
        <x:v>8.0</x:v>
      </x:c>
      <x:c r="E12" s="6" t="str">
        <x:f>IFERROR(IF(VLOOKUP(D12,Giocatori!$A$4:$C$48,2,FALSE)&lt;&gt;"",VLOOKUP(D12,Giocatori!$A$4:$C$48,2,FALSE),"Giocatore "&amp;D12),"Giocatore "&amp;D12)</x:f>
        <x:v>Beracci Benedetto</x:v>
      </x:c>
      <x:c r="F12" s="10"/>
      <x:c r="G12" s="10"/>
      <x:c r="H12" s="10">
        <x:v>0.0</x:v>
      </x:c>
      <x:c r="I12" s="6" t="str">
        <x:f t="shared" si="1"/>
      </x:c>
      <x:c r="J12" s="10"/>
    </x:row>
    <x:row r="13" ht="13.5" customHeight="1">
      <x:c r="A13" s="6">
        <x:v>1.0</x:v>
      </x:c>
      <x:c r="B13" s="6" t="s">
        <x:v>91</x:v>
      </x:c>
      <x:c r="C13" s="6">
        <x:v>4.0</x:v>
      </x:c>
      <x:c r="D13" s="6">
        <x:v>9.0</x:v>
      </x:c>
      <x:c r="E13" s="6" t="str">
        <x:f>IFERROR(IF(VLOOKUP(D13,Giocatori!$A$4:$C$48,2,FALSE)&lt;&gt;"",VLOOKUP(D13,Giocatori!$A$4:$C$48,2,FALSE),"Giocatore "&amp;D13),"Giocatore "&amp;D13)</x:f>
        <x:v>Atria Gregorio</x:v>
      </x:c>
      <x:c r="F13" s="10"/>
      <x:c r="G13" s="10"/>
      <x:c r="H13" s="10">
        <x:v>0.0</x:v>
      </x:c>
      <x:c r="I13" s="6" t="str">
        <x:f t="shared" si="1"/>
      </x:c>
      <x:c r="J13" s="10"/>
    </x:row>
    <x:row r="14" ht="13.5" customHeight="1">
      <x:c r="A14" s="6">
        <x:v>1.0</x:v>
      </x:c>
      <x:c r="B14" s="6" t="s">
        <x:v>91</x:v>
      </x:c>
      <x:c r="C14" s="6">
        <x:v>5.0</x:v>
      </x:c>
      <x:c r="D14" s="6">
        <x:v>10.0</x:v>
      </x:c>
      <x:c r="E14" s="6" t="str">
        <x:f>IFERROR(IF(VLOOKUP(D14,Giocatori!$A$4:$C$48,2,FALSE)&lt;&gt;"",VLOOKUP(D14,Giocatori!$A$4:$C$48,2,FALSE),"Giocatore "&amp;D14),"Giocatore "&amp;D14)</x:f>
        <x:v>Caliendo Nunzio</x:v>
      </x:c>
      <x:c r="F14" s="10"/>
      <x:c r="G14" s="10"/>
      <x:c r="H14" s="10">
        <x:v>0.0</x:v>
      </x:c>
      <x:c r="I14" s="6" t="str">
        <x:f t="shared" si="1"/>
      </x:c>
      <x:c r="J14" s="10"/>
    </x:row>
    <x:row r="15" ht="13.5" customHeight="1">
      <x:c r="A15" s="6">
        <x:v>1.0</x:v>
      </x:c>
      <x:c r="B15" s="6" t="s">
        <x:v>92</x:v>
      </x:c>
      <x:c r="C15" s="6">
        <x:v>1.0</x:v>
      </x:c>
      <x:c r="D15" s="6">
        <x:v>11.0</x:v>
      </x:c>
      <x:c r="E15" s="6" t="str">
        <x:f>IFERROR(IF(VLOOKUP(D15,Giocatori!$A$4:$C$48,2,FALSE)&lt;&gt;"",VLOOKUP(D15,Giocatori!$A$4:$C$48,2,FALSE),"Giocatore "&amp;D15),"Giocatore "&amp;D15)</x:f>
        <x:v>Moccia Biagio</x:v>
      </x:c>
      <x:c r="F15" s="10"/>
      <x:c r="G15" s="10"/>
      <x:c r="H15" s="10">
        <x:v>0.0</x:v>
      </x:c>
      <x:c r="I15" s="6" t="str">
        <x:f t="shared" si="1"/>
      </x:c>
      <x:c r="J15" s="10"/>
    </x:row>
    <x:row r="16" ht="13.5" customHeight="1">
      <x:c r="A16" s="6">
        <x:v>1.0</x:v>
      </x:c>
      <x:c r="B16" s="6" t="s">
        <x:v>92</x:v>
      </x:c>
      <x:c r="C16" s="6">
        <x:v>2.0</x:v>
      </x:c>
      <x:c r="D16" s="6">
        <x:v>12.0</x:v>
      </x:c>
      <x:c r="E16" s="6" t="str">
        <x:f>IFERROR(IF(VLOOKUP(D16,Giocatori!$A$4:$C$48,2,FALSE)&lt;&gt;"",VLOOKUP(D16,Giocatori!$A$4:$C$48,2,FALSE),"Giocatore "&amp;D16),"Giocatore "&amp;D16)</x:f>
        <x:v>De Falco Andrea</x:v>
      </x:c>
      <x:c r="F16" s="10"/>
      <x:c r="G16" s="10"/>
      <x:c r="H16" s="10">
        <x:v>0.0</x:v>
      </x:c>
      <x:c r="I16" s="6" t="str">
        <x:f t="shared" si="1"/>
      </x:c>
      <x:c r="J16" s="10"/>
    </x:row>
    <x:row r="17" ht="13.5" customHeight="1">
      <x:c r="A17" s="6">
        <x:v>1.0</x:v>
      </x:c>
      <x:c r="B17" s="6" t="s">
        <x:v>92</x:v>
      </x:c>
      <x:c r="C17" s="6">
        <x:v>3.0</x:v>
      </x:c>
      <x:c r="D17" s="6">
        <x:v>13.0</x:v>
      </x:c>
      <x:c r="E17" s="6" t="str">
        <x:f>IFERROR(IF(VLOOKUP(D17,Giocatori!$A$4:$C$48,2,FALSE)&lt;&gt;"",VLOOKUP(D17,Giocatori!$A$4:$C$48,2,FALSE),"Giocatore "&amp;D17),"Giocatore "&amp;D17)</x:f>
        <x:v>Corbo Alessandro</x:v>
      </x:c>
      <x:c r="F17" s="10"/>
      <x:c r="G17" s="10"/>
      <x:c r="H17" s="10">
        <x:v>0.0</x:v>
      </x:c>
      <x:c r="I17" s="6" t="str">
        <x:f t="shared" si="1"/>
      </x:c>
      <x:c r="J17" s="10"/>
    </x:row>
    <x:row r="18" ht="13.5" customHeight="1">
      <x:c r="A18" s="6">
        <x:v>1.0</x:v>
      </x:c>
      <x:c r="B18" s="6" t="s">
        <x:v>92</x:v>
      </x:c>
      <x:c r="C18" s="6">
        <x:v>4.0</x:v>
      </x:c>
      <x:c r="D18" s="6">
        <x:v>14.0</x:v>
      </x:c>
      <x:c r="E18" s="6" t="str">
        <x:f>IFERROR(IF(VLOOKUP(D18,Giocatori!$A$4:$C$48,2,FALSE)&lt;&gt;"",VLOOKUP(D18,Giocatori!$A$4:$C$48,2,FALSE),"Giocatore "&amp;D18),"Giocatore "&amp;D18)</x:f>
        <x:v>Botta Francesco</x:v>
      </x:c>
      <x:c r="F18" s="10"/>
      <x:c r="G18" s="10"/>
      <x:c r="H18" s="10">
        <x:v>0.0</x:v>
      </x:c>
      <x:c r="I18" s="6" t="str">
        <x:f t="shared" si="1"/>
      </x:c>
      <x:c r="J18" s="10"/>
    </x:row>
    <x:row r="19" ht="13.5" customHeight="1">
      <x:c r="A19" s="6">
        <x:v>1.0</x:v>
      </x:c>
      <x:c r="B19" s="6" t="s">
        <x:v>92</x:v>
      </x:c>
      <x:c r="C19" s="6">
        <x:v>5.0</x:v>
      </x:c>
      <x:c r="D19" s="6">
        <x:v>15.0</x:v>
      </x:c>
      <x:c r="E19" s="6" t="str">
        <x:f>IFERROR(IF(VLOOKUP(D19,Giocatori!$A$4:$C$48,2,FALSE)&lt;&gt;"",VLOOKUP(D19,Giocatori!$A$4:$C$48,2,FALSE),"Giocatore "&amp;D19),"Giocatore "&amp;D19)</x:f>
        <x:v>Tufano Antonio</x:v>
      </x:c>
      <x:c r="F19" s="10"/>
      <x:c r="G19" s="10"/>
      <x:c r="H19" s="10">
        <x:v>0.0</x:v>
      </x:c>
      <x:c r="I19" s="6" t="str">
        <x:f t="shared" si="1"/>
      </x:c>
      <x:c r="J19" s="10"/>
    </x:row>
    <x:row r="20" ht="13.5" customHeight="1">
      <x:c r="A20" s="6">
        <x:v>1.0</x:v>
      </x:c>
      <x:c r="B20" s="6" t="s">
        <x:v>93</x:v>
      </x:c>
      <x:c r="C20" s="6">
        <x:v>1.0</x:v>
      </x:c>
      <x:c r="D20" s="6">
        <x:v>16.0</x:v>
      </x:c>
      <x:c r="E20" s="6" t="str">
        <x:f>IFERROR(IF(VLOOKUP(D20,Giocatori!$A$4:$C$48,2,FALSE)&lt;&gt;"",VLOOKUP(D20,Giocatori!$A$4:$C$48,2,FALSE),"Giocatore "&amp;D20),"Giocatore "&amp;D20)</x:f>
        <x:v>Iorio Raffaele</x:v>
      </x:c>
      <x:c r="F20" s="10"/>
      <x:c r="G20" s="10"/>
      <x:c r="H20" s="10">
        <x:v>0.0</x:v>
      </x:c>
      <x:c r="I20" s="6" t="str">
        <x:f t="shared" si="1"/>
      </x:c>
      <x:c r="J20" s="10"/>
    </x:row>
    <x:row r="21" ht="13.5" customHeight="1">
      <x:c r="A21" s="6">
        <x:v>1.0</x:v>
      </x:c>
      <x:c r="B21" s="6" t="s">
        <x:v>93</x:v>
      </x:c>
      <x:c r="C21" s="6">
        <x:v>2.0</x:v>
      </x:c>
      <x:c r="D21" s="6">
        <x:v>17.0</x:v>
      </x:c>
      <x:c r="E21" s="6" t="str">
        <x:f>IFERROR(IF(VLOOKUP(D21,Giocatori!$A$4:$C$48,2,FALSE)&lt;&gt;"",VLOOKUP(D21,Giocatori!$A$4:$C$48,2,FALSE),"Giocatore "&amp;D21),"Giocatore "&amp;D21)</x:f>
        <x:v>Scogliamiglio Alfredo</x:v>
      </x:c>
      <x:c r="F21" s="10"/>
      <x:c r="G21" s="10"/>
      <x:c r="H21" s="10">
        <x:v>0.0</x:v>
      </x:c>
      <x:c r="I21" s="6" t="str">
        <x:f t="shared" si="1"/>
      </x:c>
      <x:c r="J21" s="10"/>
    </x:row>
    <x:row r="22" ht="13.5" customHeight="1">
      <x:c r="A22" s="6">
        <x:v>1.0</x:v>
      </x:c>
      <x:c r="B22" s="6" t="s">
        <x:v>93</x:v>
      </x:c>
      <x:c r="C22" s="6">
        <x:v>3.0</x:v>
      </x:c>
      <x:c r="D22" s="6">
        <x:v>18.0</x:v>
      </x:c>
      <x:c r="E22" s="6" t="str">
        <x:f>IFERROR(IF(VLOOKUP(D22,Giocatori!$A$4:$C$48,2,FALSE)&lt;&gt;"",VLOOKUP(D22,Giocatori!$A$4:$C$48,2,FALSE),"Giocatore "&amp;D22),"Giocatore "&amp;D22)</x:f>
        <x:v>Cafarelli Manolo</x:v>
      </x:c>
      <x:c r="F22" s="10"/>
      <x:c r="G22" s="10"/>
      <x:c r="H22" s="10">
        <x:v>0.0</x:v>
      </x:c>
      <x:c r="I22" s="6" t="str">
        <x:f t="shared" si="1"/>
      </x:c>
      <x:c r="J22" s="10"/>
    </x:row>
    <x:row r="23" ht="13.5" customHeight="1">
      <x:c r="A23" s="6">
        <x:v>1.0</x:v>
      </x:c>
      <x:c r="B23" s="6" t="s">
        <x:v>93</x:v>
      </x:c>
      <x:c r="C23" s="6">
        <x:v>4.0</x:v>
      </x:c>
      <x:c r="D23" s="6">
        <x:v>19.0</x:v>
      </x:c>
      <x:c r="E23" s="6" t="str">
        <x:f>IFERROR(IF(VLOOKUP(D23,Giocatori!$A$4:$C$48,2,FALSE)&lt;&gt;"",VLOOKUP(D23,Giocatori!$A$4:$C$48,2,FALSE),"Giocatore "&amp;D23),"Giocatore "&amp;D23)</x:f>
        <x:v>Fuschillo Franco</x:v>
      </x:c>
      <x:c r="F23" s="10"/>
      <x:c r="G23" s="10"/>
      <x:c r="H23" s="10">
        <x:v>0.0</x:v>
      </x:c>
      <x:c r="I23" s="6" t="str">
        <x:f t="shared" si="1"/>
      </x:c>
      <x:c r="J23" s="10"/>
    </x:row>
    <x:row r="24" ht="13.5" customHeight="1">
      <x:c r="A24" s="6">
        <x:v>1.0</x:v>
      </x:c>
      <x:c r="B24" s="6" t="s">
        <x:v>93</x:v>
      </x:c>
      <x:c r="C24" s="6">
        <x:v>5.0</x:v>
      </x:c>
      <x:c r="D24" s="6">
        <x:v>20.0</x:v>
      </x:c>
      <x:c r="E24" s="6" t="str">
        <x:f>IFERROR(IF(VLOOKUP(D24,Giocatori!$A$4:$C$48,2,FALSE)&lt;&gt;"",VLOOKUP(D24,Giocatori!$A$4:$C$48,2,FALSE),"Giocatore "&amp;D24),"Giocatore "&amp;D24)</x:f>
        <x:v>Di Grazia Salvatore</x:v>
      </x:c>
      <x:c r="F24" s="10"/>
      <x:c r="G24" s="10"/>
      <x:c r="H24" s="10">
        <x:v>0.0</x:v>
      </x:c>
      <x:c r="I24" s="6" t="str">
        <x:f t="shared" si="1"/>
      </x:c>
      <x:c r="J24" s="10"/>
    </x:row>
    <x:row r="25" ht="13.5" customHeight="1">
      <x:c r="A25" s="6">
        <x:v>1.0</x:v>
      </x:c>
      <x:c r="B25" s="6" t="s">
        <x:v>94</x:v>
      </x:c>
      <x:c r="C25" s="6">
        <x:v>1.0</x:v>
      </x:c>
      <x:c r="D25" s="6">
        <x:v>21.0</x:v>
      </x:c>
      <x:c r="E25" s="6" t="str">
        <x:f>IFERROR(IF(VLOOKUP(D25,Giocatori!$A$4:$C$48,2,FALSE)&lt;&gt;"",VLOOKUP(D25,Giocatori!$A$4:$C$48,2,FALSE),"Giocatore "&amp;D25),"Giocatore "&amp;D25)</x:f>
        <x:v>Mauro Candice</x:v>
      </x:c>
      <x:c r="F25" s="10"/>
      <x:c r="G25" s="10"/>
      <x:c r="H25" s="10">
        <x:v>0.0</x:v>
      </x:c>
      <x:c r="I25" s="6" t="str">
        <x:f t="shared" si="1"/>
      </x:c>
      <x:c r="J25" s="10"/>
    </x:row>
    <x:row r="26" ht="13.5" customHeight="1">
      <x:c r="A26" s="6">
        <x:v>1.0</x:v>
      </x:c>
      <x:c r="B26" s="6" t="s">
        <x:v>94</x:v>
      </x:c>
      <x:c r="C26" s="6">
        <x:v>2.0</x:v>
      </x:c>
      <x:c r="D26" s="6">
        <x:v>22.0</x:v>
      </x:c>
      <x:c r="E26" s="6" t="str">
        <x:f>IFERROR(IF(VLOOKUP(D26,Giocatori!$A$4:$C$48,2,FALSE)&lt;&gt;"",VLOOKUP(D26,Giocatori!$A$4:$C$48,2,FALSE),"Giocatore "&amp;D26),"Giocatore "&amp;D26)</x:f>
        <x:v>Michele Zappone</x:v>
      </x:c>
      <x:c r="F26" s="10"/>
      <x:c r="G26" s="10"/>
      <x:c r="H26" s="10">
        <x:v>0.0</x:v>
      </x:c>
      <x:c r="I26" s="6" t="str">
        <x:f t="shared" si="1"/>
      </x:c>
      <x:c r="J26" s="10"/>
    </x:row>
    <x:row r="27" ht="13.5" customHeight="1">
      <x:c r="A27" s="6">
        <x:v>1.0</x:v>
      </x:c>
      <x:c r="B27" s="6" t="s">
        <x:v>94</x:v>
      </x:c>
      <x:c r="C27" s="6">
        <x:v>3.0</x:v>
      </x:c>
      <x:c r="D27" s="6">
        <x:v>23.0</x:v>
      </x:c>
      <x:c r="E27" s="6" t="str">
        <x:f>IFERROR(IF(VLOOKUP(D27,Giocatori!$A$4:$C$48,2,FALSE)&lt;&gt;"",VLOOKUP(D27,Giocatori!$A$4:$C$48,2,FALSE),"Giocatore "&amp;D27),"Giocatore "&amp;D27)</x:f>
        <x:v>Amato Alessandro</x:v>
      </x:c>
      <x:c r="F27" s="10"/>
      <x:c r="G27" s="10"/>
      <x:c r="H27" s="10">
        <x:v>0.0</x:v>
      </x:c>
      <x:c r="I27" s="6" t="str">
        <x:f t="shared" si="1"/>
      </x:c>
      <x:c r="J27" s="10"/>
    </x:row>
    <x:row r="28" ht="13.5" customHeight="1">
      <x:c r="A28" s="6">
        <x:v>1.0</x:v>
      </x:c>
      <x:c r="B28" s="6" t="s">
        <x:v>94</x:v>
      </x:c>
      <x:c r="C28" s="6">
        <x:v>4.0</x:v>
      </x:c>
      <x:c r="D28" s="6">
        <x:v>24.0</x:v>
      </x:c>
      <x:c r="E28" s="6" t="str">
        <x:f>IFERROR(IF(VLOOKUP(D28,Giocatori!$A$4:$C$48,2,FALSE)&lt;&gt;"",VLOOKUP(D28,Giocatori!$A$4:$C$48,2,FALSE),"Giocatore "&amp;D28),"Giocatore "&amp;D28)</x:f>
        <x:v>Napolitano Pasquale</x:v>
      </x:c>
      <x:c r="F28" s="10"/>
      <x:c r="G28" s="10"/>
      <x:c r="H28" s="10">
        <x:v>0.0</x:v>
      </x:c>
      <x:c r="I28" s="6" t="str">
        <x:f t="shared" si="1"/>
      </x:c>
      <x:c r="J28" s="10"/>
    </x:row>
    <x:row r="29" ht="13.5" customHeight="1">
      <x:c r="A29" s="6">
        <x:v>1.0</x:v>
      </x:c>
      <x:c r="B29" s="6" t="s">
        <x:v>94</x:v>
      </x:c>
      <x:c r="C29" s="6">
        <x:v>5.0</x:v>
      </x:c>
      <x:c r="D29" s="6">
        <x:v>25.0</x:v>
      </x:c>
      <x:c r="E29" s="6" t="str">
        <x:f>IFERROR(IF(VLOOKUP(D29,Giocatori!$A$4:$C$48,2,FALSE)&lt;&gt;"",VLOOKUP(D29,Giocatori!$A$4:$C$48,2,FALSE),"Giocatore "&amp;D29),"Giocatore "&amp;D29)</x:f>
        <x:v>Fontanella Giuseppe</x:v>
      </x:c>
      <x:c r="F29" s="10"/>
      <x:c r="G29" s="10"/>
      <x:c r="H29" s="10">
        <x:v>0.0</x:v>
      </x:c>
      <x:c r="I29" s="6" t="str">
        <x:f t="shared" si="1"/>
      </x:c>
      <x:c r="J29" s="10"/>
    </x:row>
    <x:row r="30" ht="13.5" customHeight="1">
      <x:c r="A30" s="6">
        <x:v>1.0</x:v>
      </x:c>
      <x:c r="B30" s="6" t="s">
        <x:v>95</x:v>
      </x:c>
      <x:c r="C30" s="6">
        <x:v>1.0</x:v>
      </x:c>
      <x:c r="D30" s="6">
        <x:v>26.0</x:v>
      </x:c>
      <x:c r="E30" s="6" t="str">
        <x:f>IFERROR(IF(VLOOKUP(D30,Giocatori!$A$4:$C$48,2,FALSE)&lt;&gt;"",VLOOKUP(D30,Giocatori!$A$4:$C$48,2,FALSE),"Giocatore "&amp;D30),"Giocatore "&amp;D30)</x:f>
        <x:v>La Marca Franco</x:v>
      </x:c>
      <x:c r="F30" s="10"/>
      <x:c r="G30" s="10"/>
      <x:c r="H30" s="10">
        <x:v>0.0</x:v>
      </x:c>
      <x:c r="I30" s="6" t="str">
        <x:f t="shared" si="1"/>
      </x:c>
      <x:c r="J30" s="10"/>
    </x:row>
    <x:row r="31" ht="13.5" customHeight="1">
      <x:c r="A31" s="6">
        <x:v>1.0</x:v>
      </x:c>
      <x:c r="B31" s="6" t="s">
        <x:v>95</x:v>
      </x:c>
      <x:c r="C31" s="6">
        <x:v>2.0</x:v>
      </x:c>
      <x:c r="D31" s="6">
        <x:v>27.0</x:v>
      </x:c>
      <x:c r="E31" s="6" t="str">
        <x:f>IFERROR(IF(VLOOKUP(D31,Giocatori!$A$4:$C$48,2,FALSE)&lt;&gt;"",VLOOKUP(D31,Giocatori!$A$4:$C$48,2,FALSE),"Giocatore "&amp;D31),"Giocatore "&amp;D31)</x:f>
        <x:v>Tufano Michele</x:v>
      </x:c>
      <x:c r="F31" s="10"/>
      <x:c r="G31" s="10"/>
      <x:c r="H31" s="10">
        <x:v>0.0</x:v>
      </x:c>
      <x:c r="I31" s="6" t="str">
        <x:f t="shared" si="1"/>
      </x:c>
      <x:c r="J31" s="10"/>
    </x:row>
    <x:row r="32" ht="13.5" customHeight="1">
      <x:c r="A32" s="6">
        <x:v>1.0</x:v>
      </x:c>
      <x:c r="B32" s="6" t="s">
        <x:v>95</x:v>
      </x:c>
      <x:c r="C32" s="6">
        <x:v>3.0</x:v>
      </x:c>
      <x:c r="D32" s="6">
        <x:v>28.0</x:v>
      </x:c>
      <x:c r="E32" s="6" t="str">
        <x:f>IFERROR(IF(VLOOKUP(D32,Giocatori!$A$4:$C$48,2,FALSE)&lt;&gt;"",VLOOKUP(D32,Giocatori!$A$4:$C$48,2,FALSE),"Giocatore "&amp;D32),"Giocatore "&amp;D32)</x:f>
        <x:v>Ambrosino Raffaele</x:v>
      </x:c>
      <x:c r="F32" s="10"/>
      <x:c r="G32" s="10"/>
      <x:c r="H32" s="10">
        <x:v>0.0</x:v>
      </x:c>
      <x:c r="I32" s="6" t="str">
        <x:f t="shared" si="1"/>
      </x:c>
      <x:c r="J32" s="10"/>
    </x:row>
    <x:row r="33" ht="13.5" customHeight="1">
      <x:c r="A33" s="6">
        <x:v>1.0</x:v>
      </x:c>
      <x:c r="B33" s="6" t="s">
        <x:v>95</x:v>
      </x:c>
      <x:c r="C33" s="6">
        <x:v>4.0</x:v>
      </x:c>
      <x:c r="D33" s="6">
        <x:v>29.0</x:v>
      </x:c>
      <x:c r="E33" s="6" t="str">
        <x:f>IFERROR(IF(VLOOKUP(D33,Giocatori!$A$4:$C$48,2,FALSE)&lt;&gt;"",VLOOKUP(D33,Giocatori!$A$4:$C$48,2,FALSE),"Giocatore "&amp;D33),"Giocatore "&amp;D33)</x:f>
        <x:v>Tufano Giovanni</x:v>
      </x:c>
      <x:c r="F33" s="10"/>
      <x:c r="G33" s="10"/>
      <x:c r="H33" s="10">
        <x:v>0.0</x:v>
      </x:c>
      <x:c r="I33" s="6" t="str">
        <x:f t="shared" si="1"/>
      </x:c>
      <x:c r="J33" s="10"/>
    </x:row>
    <x:row r="34" ht="13.5" customHeight="1">
      <x:c r="A34" s="6">
        <x:v>1.0</x:v>
      </x:c>
      <x:c r="B34" s="6" t="s">
        <x:v>95</x:v>
      </x:c>
      <x:c r="C34" s="6">
        <x:v>5.0</x:v>
      </x:c>
      <x:c r="D34" s="6">
        <x:v>30.0</x:v>
      </x:c>
      <x:c r="E34" s="6" t="str">
        <x:f>IFERROR(IF(VLOOKUP(D34,Giocatori!$A$4:$C$48,2,FALSE)&lt;&gt;"",VLOOKUP(D34,Giocatori!$A$4:$C$48,2,FALSE),"Giocatore "&amp;D34),"Giocatore "&amp;D34)</x:f>
        <x:v>Mauro Raffaele</x:v>
      </x:c>
      <x:c r="F34" s="10"/>
      <x:c r="G34" s="10"/>
      <x:c r="H34" s="10">
        <x:v>0.0</x:v>
      </x:c>
      <x:c r="I34" s="6" t="str">
        <x:f t="shared" si="1"/>
      </x:c>
      <x:c r="J34" s="10"/>
    </x:row>
    <x:row r="35" ht="13.5" customHeight="1">
      <x:c r="A35" s="6">
        <x:v>1.0</x:v>
      </x:c>
      <x:c r="B35" s="6" t="s">
        <x:v>96</x:v>
      </x:c>
      <x:c r="C35" s="6">
        <x:v>1.0</x:v>
      </x:c>
      <x:c r="D35" s="6">
        <x:v>31.0</x:v>
      </x:c>
      <x:c r="E35" s="6" t="str">
        <x:f>IFERROR(IF(VLOOKUP(D35,Giocatori!$A$4:$C$48,2,FALSE)&lt;&gt;"",VLOOKUP(D35,Giocatori!$A$4:$C$48,2,FALSE),"Giocatore "&amp;D35),"Giocatore "&amp;D35)</x:f>
        <x:v>Anna Angiero</x:v>
      </x:c>
      <x:c r="F35" s="10"/>
      <x:c r="G35" s="10"/>
      <x:c r="H35" s="10">
        <x:v>0.0</x:v>
      </x:c>
      <x:c r="I35" s="6" t="str">
        <x:f t="shared" si="1"/>
      </x:c>
      <x:c r="J35" s="10"/>
    </x:row>
    <x:row r="36" ht="13.5" customHeight="1">
      <x:c r="A36" s="6">
        <x:v>1.0</x:v>
      </x:c>
      <x:c r="B36" s="6" t="s">
        <x:v>96</x:v>
      </x:c>
      <x:c r="C36" s="6">
        <x:v>2.0</x:v>
      </x:c>
      <x:c r="D36" s="6">
        <x:v>32.0</x:v>
      </x:c>
      <x:c r="E36" s="6" t="str">
        <x:f>IFERROR(IF(VLOOKUP(D36,Giocatori!$A$4:$C$48,2,FALSE)&lt;&gt;"",VLOOKUP(D36,Giocatori!$A$4:$C$48,2,FALSE),"Giocatore "&amp;D36),"Giocatore "&amp;D36)</x:f>
        <x:v>Notaro Giacomo</x:v>
      </x:c>
      <x:c r="F36" s="10"/>
      <x:c r="G36" s="10"/>
      <x:c r="H36" s="10">
        <x:v>0.0</x:v>
      </x:c>
      <x:c r="I36" s="6" t="str">
        <x:f t="shared" si="1"/>
      </x:c>
      <x:c r="J36" s="10"/>
    </x:row>
    <x:row r="37" ht="13.5" customHeight="1">
      <x:c r="A37" s="6">
        <x:v>1.0</x:v>
      </x:c>
      <x:c r="B37" s="6" t="s">
        <x:v>96</x:v>
      </x:c>
      <x:c r="C37" s="6">
        <x:v>3.0</x:v>
      </x:c>
      <x:c r="D37" s="6">
        <x:v>33.0</x:v>
      </x:c>
      <x:c r="E37" s="6" t="str">
        <x:f>IFERROR(IF(VLOOKUP(D37,Giocatori!$A$4:$C$48,2,FALSE)&lt;&gt;"",VLOOKUP(D37,Giocatori!$A$4:$C$48,2,FALSE),"Giocatore "&amp;D37),"Giocatore "&amp;D37)</x:f>
        <x:v>Nappi Nestore</x:v>
      </x:c>
      <x:c r="F37" s="10"/>
      <x:c r="G37" s="10"/>
      <x:c r="H37" s="10">
        <x:v>0.0</x:v>
      </x:c>
      <x:c r="I37" s="6" t="str">
        <x:f t="shared" si="1"/>
      </x:c>
      <x:c r="J37" s="10"/>
    </x:row>
    <x:row r="38" ht="13.5" customHeight="1">
      <x:c r="A38" s="6">
        <x:v>1.0</x:v>
      </x:c>
      <x:c r="B38" s="6" t="s">
        <x:v>96</x:v>
      </x:c>
      <x:c r="C38" s="6">
        <x:v>4.0</x:v>
      </x:c>
      <x:c r="D38" s="6">
        <x:v>34.0</x:v>
      </x:c>
      <x:c r="E38" s="6" t="str">
        <x:f>IFERROR(IF(VLOOKUP(D38,Giocatori!$A$4:$C$48,2,FALSE)&lt;&gt;"",VLOOKUP(D38,Giocatori!$A$4:$C$48,2,FALSE),"Giocatore "&amp;D38),"Giocatore "&amp;D38)</x:f>
        <x:v>Pasquale Marotta</x:v>
      </x:c>
      <x:c r="F38" s="10"/>
      <x:c r="G38" s="10"/>
      <x:c r="H38" s="10">
        <x:v>0.0</x:v>
      </x:c>
      <x:c r="I38" s="6" t="str">
        <x:f t="shared" si="1"/>
      </x:c>
      <x:c r="J38" s="10"/>
    </x:row>
    <x:row r="39" ht="13.5" customHeight="1">
      <x:c r="A39" s="6">
        <x:v>1.0</x:v>
      </x:c>
      <x:c r="B39" s="6" t="s">
        <x:v>96</x:v>
      </x:c>
      <x:c r="C39" s="6">
        <x:v>5.0</x:v>
      </x:c>
      <x:c r="D39" s="6">
        <x:v>35.0</x:v>
      </x:c>
      <x:c r="E39" s="6" t="str">
        <x:f>IFERROR(IF(VLOOKUP(D39,Giocatori!$A$4:$C$48,2,FALSE)&lt;&gt;"",VLOOKUP(D39,Giocatori!$A$4:$C$48,2,FALSE),"Giocatore "&amp;D39),"Giocatore "&amp;D39)</x:f>
        <x:v>Napolitano Raffaele</x:v>
      </x:c>
      <x:c r="F39" s="10"/>
      <x:c r="G39" s="10"/>
      <x:c r="H39" s="10">
        <x:v>0.0</x:v>
      </x:c>
      <x:c r="I39" s="6" t="str">
        <x:f t="shared" si="1"/>
      </x:c>
      <x:c r="J39" s="10"/>
    </x:row>
    <x:row r="40" ht="13.5" customHeight="1">
      <x:c r="A40" s="6">
        <x:v>2.0</x:v>
      </x:c>
      <x:c r="B40" s="6" t="s">
        <x:v>90</x:v>
      </x:c>
      <x:c r="C40" s="6">
        <x:v>1.0</x:v>
      </x:c>
      <x:c r="D40" s="6">
        <x:v>1.0</x:v>
      </x:c>
      <x:c r="E40" s="6" t="str">
        <x:f>IFERROR(IF(VLOOKUP(D40,Giocatori!$A$4:$C$48,2,FALSE)&lt;&gt;"",VLOOKUP(D40,Giocatori!$A$4:$C$48,2,FALSE),"Giocatore "&amp;D40),"Giocatore "&amp;D40)</x:f>
        <x:v>Zio Raffaele</x:v>
      </x:c>
      <x:c r="F40" s="10"/>
      <x:c r="G40" s="10"/>
      <x:c r="H40" s="10">
        <x:v>0.0</x:v>
      </x:c>
      <x:c r="I40" s="6" t="str">
        <x:f t="shared" si="1"/>
      </x:c>
      <x:c r="J40" s="10"/>
    </x:row>
    <x:row r="41" ht="13.5" customHeight="1">
      <x:c r="A41" s="6">
        <x:v>2.0</x:v>
      </x:c>
      <x:c r="B41" s="6" t="s">
        <x:v>90</x:v>
      </x:c>
      <x:c r="C41" s="6">
        <x:v>2.0</x:v>
      </x:c>
      <x:c r="D41" s="6">
        <x:v>32.0</x:v>
      </x:c>
      <x:c r="E41" s="6" t="str">
        <x:f>IFERROR(IF(VLOOKUP(D41,Giocatori!$A$4:$C$48,2,FALSE)&lt;&gt;"",VLOOKUP(D41,Giocatori!$A$4:$C$48,2,FALSE),"Giocatore "&amp;D41),"Giocatore "&amp;D41)</x:f>
        <x:v>Notaro Giacomo</x:v>
      </x:c>
      <x:c r="F41" s="10"/>
      <x:c r="G41" s="10"/>
      <x:c r="H41" s="10">
        <x:v>0.0</x:v>
      </x:c>
      <x:c r="I41" s="6" t="str">
        <x:f t="shared" si="1"/>
      </x:c>
      <x:c r="J41" s="10"/>
    </x:row>
    <x:row r="42" ht="13.5" customHeight="1">
      <x:c r="A42" s="6">
        <x:v>2.0</x:v>
      </x:c>
      <x:c r="B42" s="6" t="s">
        <x:v>90</x:v>
      </x:c>
      <x:c r="C42" s="6">
        <x:v>3.0</x:v>
      </x:c>
      <x:c r="D42" s="6">
        <x:v>28.0</x:v>
      </x:c>
      <x:c r="E42" s="6" t="str">
        <x:f>IFERROR(IF(VLOOKUP(D42,Giocatori!$A$4:$C$48,2,FALSE)&lt;&gt;"",VLOOKUP(D42,Giocatori!$A$4:$C$48,2,FALSE),"Giocatore "&amp;D42),"Giocatore "&amp;D42)</x:f>
        <x:v>Ambrosino Raffaele</x:v>
      </x:c>
      <x:c r="F42" s="10"/>
      <x:c r="G42" s="10"/>
      <x:c r="H42" s="10">
        <x:v>0.0</x:v>
      </x:c>
      <x:c r="I42" s="6" t="str">
        <x:f t="shared" si="1"/>
      </x:c>
      <x:c r="J42" s="10"/>
    </x:row>
    <x:row r="43" ht="13.5" customHeight="1">
      <x:c r="A43" s="6">
        <x:v>2.0</x:v>
      </x:c>
      <x:c r="B43" s="6" t="s">
        <x:v>90</x:v>
      </x:c>
      <x:c r="C43" s="6">
        <x:v>4.0</x:v>
      </x:c>
      <x:c r="D43" s="6">
        <x:v>24.0</x:v>
      </x:c>
      <x:c r="E43" s="6" t="str">
        <x:f>IFERROR(IF(VLOOKUP(D43,Giocatori!$A$4:$C$48,2,FALSE)&lt;&gt;"",VLOOKUP(D43,Giocatori!$A$4:$C$48,2,FALSE),"Giocatore "&amp;D43),"Giocatore "&amp;D43)</x:f>
        <x:v>Napolitano Pasquale</x:v>
      </x:c>
      <x:c r="F43" s="10"/>
      <x:c r="G43" s="10"/>
      <x:c r="H43" s="10">
        <x:v>0.0</x:v>
      </x:c>
      <x:c r="I43" s="6" t="str">
        <x:f t="shared" si="1"/>
      </x:c>
      <x:c r="J43" s="10"/>
    </x:row>
    <x:row r="44" ht="13.5" customHeight="1">
      <x:c r="A44" s="6">
        <x:v>2.0</x:v>
      </x:c>
      <x:c r="B44" s="6" t="s">
        <x:v>90</x:v>
      </x:c>
      <x:c r="C44" s="6">
        <x:v>5.0</x:v>
      </x:c>
      <x:c r="D44" s="6">
        <x:v>20.0</x:v>
      </x:c>
      <x:c r="E44" s="6" t="str">
        <x:f>IFERROR(IF(VLOOKUP(D44,Giocatori!$A$4:$C$48,2,FALSE)&lt;&gt;"",VLOOKUP(D44,Giocatori!$A$4:$C$48,2,FALSE),"Giocatore "&amp;D44),"Giocatore "&amp;D44)</x:f>
        <x:v>Di Grazia Salvatore</x:v>
      </x:c>
      <x:c r="F44" s="10"/>
      <x:c r="G44" s="10"/>
      <x:c r="H44" s="10">
        <x:v>0.0</x:v>
      </x:c>
      <x:c r="I44" s="6" t="str">
        <x:f t="shared" si="1"/>
      </x:c>
      <x:c r="J44" s="10"/>
    </x:row>
    <x:row r="45" ht="13.5" customHeight="1">
      <x:c r="A45" s="6">
        <x:v>2.0</x:v>
      </x:c>
      <x:c r="B45" s="6" t="s">
        <x:v>91</x:v>
      </x:c>
      <x:c r="C45" s="6">
        <x:v>1.0</x:v>
      </x:c>
      <x:c r="D45" s="6">
        <x:v>6.0</x:v>
      </x:c>
      <x:c r="E45" s="6" t="str">
        <x:f>IFERROR(IF(VLOOKUP(D45,Giocatori!$A$4:$C$48,2,FALSE)&lt;&gt;"",VLOOKUP(D45,Giocatori!$A$4:$C$48,2,FALSE),"Giocatore "&amp;D45),"Giocatore "&amp;D45)</x:f>
        <x:v>Sommese Antonio</x:v>
      </x:c>
      <x:c r="F45" s="10"/>
      <x:c r="G45" s="10"/>
      <x:c r="H45" s="10">
        <x:v>0.0</x:v>
      </x:c>
      <x:c r="I45" s="6" t="str">
        <x:f t="shared" si="1"/>
      </x:c>
      <x:c r="J45" s="10"/>
    </x:row>
    <x:row r="46" ht="13.5" customHeight="1">
      <x:c r="A46" s="6">
        <x:v>2.0</x:v>
      </x:c>
      <x:c r="B46" s="6" t="s">
        <x:v>91</x:v>
      </x:c>
      <x:c r="C46" s="6">
        <x:v>2.0</x:v>
      </x:c>
      <x:c r="D46" s="6">
        <x:v>2.0</x:v>
      </x:c>
      <x:c r="E46" s="6" t="str">
        <x:f>IFERROR(IF(VLOOKUP(D46,Giocatori!$A$4:$C$48,2,FALSE)&lt;&gt;"",VLOOKUP(D46,Giocatori!$A$4:$C$48,2,FALSE),"Giocatore "&amp;D46),"Giocatore "&amp;D46)</x:f>
        <x:v>Nicola Mauro</x:v>
      </x:c>
      <x:c r="F46" s="10"/>
      <x:c r="G46" s="10"/>
      <x:c r="H46" s="10">
        <x:v>0.0</x:v>
      </x:c>
      <x:c r="I46" s="6" t="str">
        <x:f t="shared" si="1"/>
      </x:c>
      <x:c r="J46" s="10"/>
    </x:row>
    <x:row r="47" ht="13.5" customHeight="1">
      <x:c r="A47" s="6">
        <x:v>2.0</x:v>
      </x:c>
      <x:c r="B47" s="6" t="s">
        <x:v>91</x:v>
      </x:c>
      <x:c r="C47" s="6">
        <x:v>3.0</x:v>
      </x:c>
      <x:c r="D47" s="6">
        <x:v>33.0</x:v>
      </x:c>
      <x:c r="E47" s="6" t="str">
        <x:f>IFERROR(IF(VLOOKUP(D47,Giocatori!$A$4:$C$48,2,FALSE)&lt;&gt;"",VLOOKUP(D47,Giocatori!$A$4:$C$48,2,FALSE),"Giocatore "&amp;D47),"Giocatore "&amp;D47)</x:f>
        <x:v>Nappi Nestore</x:v>
      </x:c>
      <x:c r="F47" s="10"/>
      <x:c r="G47" s="10"/>
      <x:c r="H47" s="10">
        <x:v>0.0</x:v>
      </x:c>
      <x:c r="I47" s="6" t="str">
        <x:f t="shared" si="1"/>
      </x:c>
      <x:c r="J47" s="10"/>
    </x:row>
    <x:row r="48" ht="13.5" customHeight="1">
      <x:c r="A48" s="6">
        <x:v>2.0</x:v>
      </x:c>
      <x:c r="B48" s="6" t="s">
        <x:v>91</x:v>
      </x:c>
      <x:c r="C48" s="6">
        <x:v>4.0</x:v>
      </x:c>
      <x:c r="D48" s="6">
        <x:v>29.0</x:v>
      </x:c>
      <x:c r="E48" s="6" t="str">
        <x:f>IFERROR(IF(VLOOKUP(D48,Giocatori!$A$4:$C$48,2,FALSE)&lt;&gt;"",VLOOKUP(D48,Giocatori!$A$4:$C$48,2,FALSE),"Giocatore "&amp;D48),"Giocatore "&amp;D48)</x:f>
        <x:v>Tufano Giovanni</x:v>
      </x:c>
      <x:c r="F48" s="10"/>
      <x:c r="G48" s="10"/>
      <x:c r="H48" s="10">
        <x:v>0.0</x:v>
      </x:c>
      <x:c r="I48" s="6" t="str">
        <x:f t="shared" si="1"/>
      </x:c>
      <x:c r="J48" s="10"/>
    </x:row>
    <x:row r="49" ht="13.5" customHeight="1">
      <x:c r="A49" s="6">
        <x:v>2.0</x:v>
      </x:c>
      <x:c r="B49" s="6" t="s">
        <x:v>91</x:v>
      </x:c>
      <x:c r="C49" s="6">
        <x:v>5.0</x:v>
      </x:c>
      <x:c r="D49" s="6">
        <x:v>25.0</x:v>
      </x:c>
      <x:c r="E49" s="6" t="str">
        <x:f>IFERROR(IF(VLOOKUP(D49,Giocatori!$A$4:$C$48,2,FALSE)&lt;&gt;"",VLOOKUP(D49,Giocatori!$A$4:$C$48,2,FALSE),"Giocatore "&amp;D49),"Giocatore "&amp;D49)</x:f>
        <x:v>Fontanella Giuseppe</x:v>
      </x:c>
      <x:c r="F49" s="10"/>
      <x:c r="G49" s="10"/>
      <x:c r="H49" s="10">
        <x:v>0.0</x:v>
      </x:c>
      <x:c r="I49" s="6" t="str">
        <x:f t="shared" si="1"/>
      </x:c>
      <x:c r="J49" s="10"/>
    </x:row>
    <x:row r="50" ht="13.5" customHeight="1">
      <x:c r="A50" s="6">
        <x:v>2.0</x:v>
      </x:c>
      <x:c r="B50" s="6" t="s">
        <x:v>92</x:v>
      </x:c>
      <x:c r="C50" s="6">
        <x:v>1.0</x:v>
      </x:c>
      <x:c r="D50" s="6">
        <x:v>11.0</x:v>
      </x:c>
      <x:c r="E50" s="6" t="str">
        <x:f>IFERROR(IF(VLOOKUP(D50,Giocatori!$A$4:$C$48,2,FALSE)&lt;&gt;"",VLOOKUP(D50,Giocatori!$A$4:$C$48,2,FALSE),"Giocatore "&amp;D50),"Giocatore "&amp;D50)</x:f>
        <x:v>Moccia Biagio</x:v>
      </x:c>
      <x:c r="F50" s="10"/>
      <x:c r="G50" s="10"/>
      <x:c r="H50" s="10">
        <x:v>0.0</x:v>
      </x:c>
      <x:c r="I50" s="6" t="str">
        <x:f t="shared" si="1"/>
      </x:c>
      <x:c r="J50" s="10"/>
    </x:row>
    <x:row r="51" ht="13.5" customHeight="1">
      <x:c r="A51" s="6">
        <x:v>2.0</x:v>
      </x:c>
      <x:c r="B51" s="6" t="s">
        <x:v>92</x:v>
      </x:c>
      <x:c r="C51" s="6">
        <x:v>2.0</x:v>
      </x:c>
      <x:c r="D51" s="6">
        <x:v>7.0</x:v>
      </x:c>
      <x:c r="E51" s="6" t="str">
        <x:f>IFERROR(IF(VLOOKUP(D51,Giocatori!$A$4:$C$48,2,FALSE)&lt;&gt;"",VLOOKUP(D51,Giocatori!$A$4:$C$48,2,FALSE),"Giocatore "&amp;D51),"Giocatore "&amp;D51)</x:f>
        <x:v>Notaro massimo</x:v>
      </x:c>
      <x:c r="F51" s="10"/>
      <x:c r="G51" s="10"/>
      <x:c r="H51" s="10">
        <x:v>0.0</x:v>
      </x:c>
      <x:c r="I51" s="6" t="str">
        <x:f t="shared" si="1"/>
      </x:c>
      <x:c r="J51" s="10"/>
    </x:row>
    <x:row r="52" ht="13.5" customHeight="1">
      <x:c r="A52" s="6">
        <x:v>2.0</x:v>
      </x:c>
      <x:c r="B52" s="6" t="s">
        <x:v>92</x:v>
      </x:c>
      <x:c r="C52" s="6">
        <x:v>3.0</x:v>
      </x:c>
      <x:c r="D52" s="6">
        <x:v>3.0</x:v>
      </x:c>
      <x:c r="E52" s="6" t="str">
        <x:f>IFERROR(IF(VLOOKUP(D52,Giocatori!$A$4:$C$48,2,FALSE)&lt;&gt;"",VLOOKUP(D52,Giocatori!$A$4:$C$48,2,FALSE),"Giocatore "&amp;D52),"Giocatore "&amp;D52)</x:f>
        <x:v>Beracci Lucio</x:v>
      </x:c>
      <x:c r="F52" s="10"/>
      <x:c r="G52" s="10"/>
      <x:c r="H52" s="10">
        <x:v>0.0</x:v>
      </x:c>
      <x:c r="I52" s="6" t="str">
        <x:f t="shared" si="1"/>
      </x:c>
      <x:c r="J52" s="10"/>
    </x:row>
    <x:row r="53" ht="13.5" customHeight="1">
      <x:c r="A53" s="6">
        <x:v>2.0</x:v>
      </x:c>
      <x:c r="B53" s="6" t="s">
        <x:v>92</x:v>
      </x:c>
      <x:c r="C53" s="6">
        <x:v>4.0</x:v>
      </x:c>
      <x:c r="D53" s="6">
        <x:v>34.0</x:v>
      </x:c>
      <x:c r="E53" s="6" t="str">
        <x:f>IFERROR(IF(VLOOKUP(D53,Giocatori!$A$4:$C$48,2,FALSE)&lt;&gt;"",VLOOKUP(D53,Giocatori!$A$4:$C$48,2,FALSE),"Giocatore "&amp;D53),"Giocatore "&amp;D53)</x:f>
        <x:v>Pasquale Marotta</x:v>
      </x:c>
      <x:c r="F53" s="10"/>
      <x:c r="G53" s="10"/>
      <x:c r="H53" s="10">
        <x:v>0.0</x:v>
      </x:c>
      <x:c r="I53" s="6" t="str">
        <x:f t="shared" si="1"/>
      </x:c>
      <x:c r="J53" s="10"/>
    </x:row>
    <x:row r="54" ht="13.5" customHeight="1">
      <x:c r="A54" s="6">
        <x:v>2.0</x:v>
      </x:c>
      <x:c r="B54" s="6" t="s">
        <x:v>92</x:v>
      </x:c>
      <x:c r="C54" s="6">
        <x:v>5.0</x:v>
      </x:c>
      <x:c r="D54" s="6">
        <x:v>30.0</x:v>
      </x:c>
      <x:c r="E54" s="6" t="str">
        <x:f>IFERROR(IF(VLOOKUP(D54,Giocatori!$A$4:$C$48,2,FALSE)&lt;&gt;"",VLOOKUP(D54,Giocatori!$A$4:$C$48,2,FALSE),"Giocatore "&amp;D54),"Giocatore "&amp;D54)</x:f>
        <x:v>Mauro Raffaele</x:v>
      </x:c>
      <x:c r="F54" s="10"/>
      <x:c r="G54" s="10"/>
      <x:c r="H54" s="10">
        <x:v>0.0</x:v>
      </x:c>
      <x:c r="I54" s="6" t="str">
        <x:f t="shared" si="1"/>
      </x:c>
      <x:c r="J54" s="10"/>
    </x:row>
    <x:row r="55" ht="13.5" customHeight="1">
      <x:c r="A55" s="6">
        <x:v>2.0</x:v>
      </x:c>
      <x:c r="B55" s="6" t="s">
        <x:v>93</x:v>
      </x:c>
      <x:c r="C55" s="6">
        <x:v>1.0</x:v>
      </x:c>
      <x:c r="D55" s="6">
        <x:v>16.0</x:v>
      </x:c>
      <x:c r="E55" s="6" t="str">
        <x:f>IFERROR(IF(VLOOKUP(D55,Giocatori!$A$4:$C$48,2,FALSE)&lt;&gt;"",VLOOKUP(D55,Giocatori!$A$4:$C$48,2,FALSE),"Giocatore "&amp;D55),"Giocatore "&amp;D55)</x:f>
        <x:v>Iorio Raffaele</x:v>
      </x:c>
      <x:c r="F55" s="10"/>
      <x:c r="G55" s="10"/>
      <x:c r="H55" s="10">
        <x:v>0.0</x:v>
      </x:c>
      <x:c r="I55" s="6" t="str">
        <x:f t="shared" si="1"/>
      </x:c>
      <x:c r="J55" s="10"/>
    </x:row>
    <x:row r="56" ht="13.5" customHeight="1">
      <x:c r="A56" s="6">
        <x:v>2.0</x:v>
      </x:c>
      <x:c r="B56" s="6" t="s">
        <x:v>93</x:v>
      </x:c>
      <x:c r="C56" s="6">
        <x:v>2.0</x:v>
      </x:c>
      <x:c r="D56" s="6">
        <x:v>12.0</x:v>
      </x:c>
      <x:c r="E56" s="6" t="str">
        <x:f>IFERROR(IF(VLOOKUP(D56,Giocatori!$A$4:$C$48,2,FALSE)&lt;&gt;"",VLOOKUP(D56,Giocatori!$A$4:$C$48,2,FALSE),"Giocatore "&amp;D56),"Giocatore "&amp;D56)</x:f>
        <x:v>De Falco Andrea</x:v>
      </x:c>
      <x:c r="F56" s="10"/>
      <x:c r="G56" s="10"/>
      <x:c r="H56" s="10">
        <x:v>0.0</x:v>
      </x:c>
      <x:c r="I56" s="6" t="str">
        <x:f t="shared" si="1"/>
      </x:c>
      <x:c r="J56" s="10"/>
    </x:row>
    <x:row r="57" ht="13.5" customHeight="1">
      <x:c r="A57" s="6">
        <x:v>2.0</x:v>
      </x:c>
      <x:c r="B57" s="6" t="s">
        <x:v>93</x:v>
      </x:c>
      <x:c r="C57" s="6">
        <x:v>3.0</x:v>
      </x:c>
      <x:c r="D57" s="6">
        <x:v>8.0</x:v>
      </x:c>
      <x:c r="E57" s="6" t="str">
        <x:f>IFERROR(IF(VLOOKUP(D57,Giocatori!$A$4:$C$48,2,FALSE)&lt;&gt;"",VLOOKUP(D57,Giocatori!$A$4:$C$48,2,FALSE),"Giocatore "&amp;D57),"Giocatore "&amp;D57)</x:f>
        <x:v>Beracci Benedetto</x:v>
      </x:c>
      <x:c r="F57" s="10"/>
      <x:c r="G57" s="10"/>
      <x:c r="H57" s="10">
        <x:v>0.0</x:v>
      </x:c>
      <x:c r="I57" s="6" t="str">
        <x:f t="shared" si="1"/>
      </x:c>
      <x:c r="J57" s="10"/>
    </x:row>
    <x:row r="58" ht="13.5" customHeight="1">
      <x:c r="A58" s="6">
        <x:v>2.0</x:v>
      </x:c>
      <x:c r="B58" s="6" t="s">
        <x:v>93</x:v>
      </x:c>
      <x:c r="C58" s="6">
        <x:v>4.0</x:v>
      </x:c>
      <x:c r="D58" s="6">
        <x:v>4.0</x:v>
      </x:c>
      <x:c r="E58" s="6" t="str">
        <x:f>IFERROR(IF(VLOOKUP(D58,Giocatori!$A$4:$C$48,2,FALSE)&lt;&gt;"",VLOOKUP(D58,Giocatori!$A$4:$C$48,2,FALSE),"Giocatore "&amp;D58),"Giocatore "&amp;D58)</x:f>
        <x:v>Annunziata Michele</x:v>
      </x:c>
      <x:c r="F58" s="10"/>
      <x:c r="G58" s="10"/>
      <x:c r="H58" s="10">
        <x:v>0.0</x:v>
      </x:c>
      <x:c r="I58" s="6" t="str">
        <x:f t="shared" si="1"/>
      </x:c>
      <x:c r="J58" s="10"/>
    </x:row>
    <x:row r="59" ht="13.5" customHeight="1">
      <x:c r="A59" s="6">
        <x:v>2.0</x:v>
      </x:c>
      <x:c r="B59" s="6" t="s">
        <x:v>93</x:v>
      </x:c>
      <x:c r="C59" s="6">
        <x:v>5.0</x:v>
      </x:c>
      <x:c r="D59" s="6">
        <x:v>35.0</x:v>
      </x:c>
      <x:c r="E59" s="6" t="str">
        <x:f>IFERROR(IF(VLOOKUP(D59,Giocatori!$A$4:$C$48,2,FALSE)&lt;&gt;"",VLOOKUP(D59,Giocatori!$A$4:$C$48,2,FALSE),"Giocatore "&amp;D59),"Giocatore "&amp;D59)</x:f>
        <x:v>Napolitano Raffaele</x:v>
      </x:c>
      <x:c r="F59" s="10"/>
      <x:c r="G59" s="10"/>
      <x:c r="H59" s="10">
        <x:v>0.0</x:v>
      </x:c>
      <x:c r="I59" s="6" t="str">
        <x:f t="shared" si="1"/>
      </x:c>
      <x:c r="J59" s="10"/>
    </x:row>
    <x:row r="60" ht="13.5" customHeight="1">
      <x:c r="A60" s="6">
        <x:v>2.0</x:v>
      </x:c>
      <x:c r="B60" s="6" t="s">
        <x:v>94</x:v>
      </x:c>
      <x:c r="C60" s="6">
        <x:v>1.0</x:v>
      </x:c>
      <x:c r="D60" s="6">
        <x:v>21.0</x:v>
      </x:c>
      <x:c r="E60" s="6" t="str">
        <x:f>IFERROR(IF(VLOOKUP(D60,Giocatori!$A$4:$C$48,2,FALSE)&lt;&gt;"",VLOOKUP(D60,Giocatori!$A$4:$C$48,2,FALSE),"Giocatore "&amp;D60),"Giocatore "&amp;D60)</x:f>
        <x:v>Mauro Candice</x:v>
      </x:c>
      <x:c r="F60" s="10"/>
      <x:c r="G60" s="10"/>
      <x:c r="H60" s="10">
        <x:v>0.0</x:v>
      </x:c>
      <x:c r="I60" s="6" t="str">
        <x:f t="shared" si="1"/>
      </x:c>
      <x:c r="J60" s="10"/>
    </x:row>
    <x:row r="61" ht="13.5" customHeight="1">
      <x:c r="A61" s="6">
        <x:v>2.0</x:v>
      </x:c>
      <x:c r="B61" s="6" t="s">
        <x:v>94</x:v>
      </x:c>
      <x:c r="C61" s="6">
        <x:v>2.0</x:v>
      </x:c>
      <x:c r="D61" s="6">
        <x:v>17.0</x:v>
      </x:c>
      <x:c r="E61" s="6" t="str">
        <x:f>IFERROR(IF(VLOOKUP(D61,Giocatori!$A$4:$C$48,2,FALSE)&lt;&gt;"",VLOOKUP(D61,Giocatori!$A$4:$C$48,2,FALSE),"Giocatore "&amp;D61),"Giocatore "&amp;D61)</x:f>
        <x:v>Scogliamiglio Alfredo</x:v>
      </x:c>
      <x:c r="F61" s="10"/>
      <x:c r="G61" s="10"/>
      <x:c r="H61" s="10">
        <x:v>0.0</x:v>
      </x:c>
      <x:c r="I61" s="6" t="str">
        <x:f t="shared" si="1"/>
      </x:c>
      <x:c r="J61" s="10"/>
    </x:row>
    <x:row r="62" ht="13.5" customHeight="1">
      <x:c r="A62" s="6">
        <x:v>2.0</x:v>
      </x:c>
      <x:c r="B62" s="6" t="s">
        <x:v>94</x:v>
      </x:c>
      <x:c r="C62" s="6">
        <x:v>3.0</x:v>
      </x:c>
      <x:c r="D62" s="6">
        <x:v>13.0</x:v>
      </x:c>
      <x:c r="E62" s="6" t="str">
        <x:f>IFERROR(IF(VLOOKUP(D62,Giocatori!$A$4:$C$48,2,FALSE)&lt;&gt;"",VLOOKUP(D62,Giocatori!$A$4:$C$48,2,FALSE),"Giocatore "&amp;D62),"Giocatore "&amp;D62)</x:f>
        <x:v>Corbo Alessandro</x:v>
      </x:c>
      <x:c r="F62" s="10"/>
      <x:c r="G62" s="10"/>
      <x:c r="H62" s="10">
        <x:v>0.0</x:v>
      </x:c>
      <x:c r="I62" s="6" t="str">
        <x:f t="shared" si="1"/>
      </x:c>
      <x:c r="J62" s="10"/>
    </x:row>
    <x:row r="63" ht="13.5" customHeight="1">
      <x:c r="A63" s="6">
        <x:v>2.0</x:v>
      </x:c>
      <x:c r="B63" s="6" t="s">
        <x:v>94</x:v>
      </x:c>
      <x:c r="C63" s="6">
        <x:v>4.0</x:v>
      </x:c>
      <x:c r="D63" s="6">
        <x:v>9.0</x:v>
      </x:c>
      <x:c r="E63" s="6" t="str">
        <x:f>IFERROR(IF(VLOOKUP(D63,Giocatori!$A$4:$C$48,2,FALSE)&lt;&gt;"",VLOOKUP(D63,Giocatori!$A$4:$C$48,2,FALSE),"Giocatore "&amp;D63),"Giocatore "&amp;D63)</x:f>
        <x:v>Atria Gregorio</x:v>
      </x:c>
      <x:c r="F63" s="10"/>
      <x:c r="G63" s="10"/>
      <x:c r="H63" s="10">
        <x:v>0.0</x:v>
      </x:c>
      <x:c r="I63" s="6" t="str">
        <x:f t="shared" si="1"/>
      </x:c>
      <x:c r="J63" s="10"/>
    </x:row>
    <x:row r="64" ht="13.5" customHeight="1">
      <x:c r="A64" s="6">
        <x:v>2.0</x:v>
      </x:c>
      <x:c r="B64" s="6" t="s">
        <x:v>94</x:v>
      </x:c>
      <x:c r="C64" s="6">
        <x:v>5.0</x:v>
      </x:c>
      <x:c r="D64" s="6">
        <x:v>5.0</x:v>
      </x:c>
      <x:c r="E64" s="6" t="str">
        <x:f>IFERROR(IF(VLOOKUP(D64,Giocatori!$A$4:$C$48,2,FALSE)&lt;&gt;"",VLOOKUP(D64,Giocatori!$A$4:$C$48,2,FALSE),"Giocatore "&amp;D64),"Giocatore "&amp;D64)</x:f>
        <x:v>La Marca Carlo</x:v>
      </x:c>
      <x:c r="F64" s="10"/>
      <x:c r="G64" s="10"/>
      <x:c r="H64" s="10">
        <x:v>0.0</x:v>
      </x:c>
      <x:c r="I64" s="6" t="str">
        <x:f t="shared" si="1"/>
      </x:c>
      <x:c r="J64" s="10"/>
    </x:row>
    <x:row r="65" ht="13.5" customHeight="1">
      <x:c r="A65" s="6">
        <x:v>2.0</x:v>
      </x:c>
      <x:c r="B65" s="6" t="s">
        <x:v>95</x:v>
      </x:c>
      <x:c r="C65" s="6">
        <x:v>1.0</x:v>
      </x:c>
      <x:c r="D65" s="6">
        <x:v>26.0</x:v>
      </x:c>
      <x:c r="E65" s="6" t="str">
        <x:f>IFERROR(IF(VLOOKUP(D65,Giocatori!$A$4:$C$48,2,FALSE)&lt;&gt;"",VLOOKUP(D65,Giocatori!$A$4:$C$48,2,FALSE),"Giocatore "&amp;D65),"Giocatore "&amp;D65)</x:f>
        <x:v>La Marca Franco</x:v>
      </x:c>
      <x:c r="F65" s="10"/>
      <x:c r="G65" s="10"/>
      <x:c r="H65" s="10">
        <x:v>0.0</x:v>
      </x:c>
      <x:c r="I65" s="6" t="str">
        <x:f t="shared" si="1"/>
      </x:c>
      <x:c r="J65" s="10"/>
    </x:row>
    <x:row r="66" ht="13.5" customHeight="1">
      <x:c r="A66" s="6">
        <x:v>2.0</x:v>
      </x:c>
      <x:c r="B66" s="6" t="s">
        <x:v>95</x:v>
      </x:c>
      <x:c r="C66" s="6">
        <x:v>2.0</x:v>
      </x:c>
      <x:c r="D66" s="6">
        <x:v>22.0</x:v>
      </x:c>
      <x:c r="E66" s="6" t="str">
        <x:f>IFERROR(IF(VLOOKUP(D66,Giocatori!$A$4:$C$48,2,FALSE)&lt;&gt;"",VLOOKUP(D66,Giocatori!$A$4:$C$48,2,FALSE),"Giocatore "&amp;D66),"Giocatore "&amp;D66)</x:f>
        <x:v>Michele Zappone</x:v>
      </x:c>
      <x:c r="F66" s="10"/>
      <x:c r="G66" s="10"/>
      <x:c r="H66" s="10">
        <x:v>0.0</x:v>
      </x:c>
      <x:c r="I66" s="6" t="str">
        <x:f t="shared" si="1"/>
      </x:c>
      <x:c r="J66" s="10"/>
    </x:row>
    <x:row r="67" ht="13.5" customHeight="1">
      <x:c r="A67" s="6">
        <x:v>2.0</x:v>
      </x:c>
      <x:c r="B67" s="6" t="s">
        <x:v>95</x:v>
      </x:c>
      <x:c r="C67" s="6">
        <x:v>3.0</x:v>
      </x:c>
      <x:c r="D67" s="6">
        <x:v>18.0</x:v>
      </x:c>
      <x:c r="E67" s="6" t="str">
        <x:f>IFERROR(IF(VLOOKUP(D67,Giocatori!$A$4:$C$48,2,FALSE)&lt;&gt;"",VLOOKUP(D67,Giocatori!$A$4:$C$48,2,FALSE),"Giocatore "&amp;D67),"Giocatore "&amp;D67)</x:f>
        <x:v>Cafarelli Manolo</x:v>
      </x:c>
      <x:c r="F67" s="10"/>
      <x:c r="G67" s="10"/>
      <x:c r="H67" s="10">
        <x:v>0.0</x:v>
      </x:c>
      <x:c r="I67" s="6" t="str">
        <x:f t="shared" si="1"/>
      </x:c>
      <x:c r="J67" s="10"/>
    </x:row>
    <x:row r="68" ht="13.5" customHeight="1">
      <x:c r="A68" s="6">
        <x:v>2.0</x:v>
      </x:c>
      <x:c r="B68" s="6" t="s">
        <x:v>95</x:v>
      </x:c>
      <x:c r="C68" s="6">
        <x:v>4.0</x:v>
      </x:c>
      <x:c r="D68" s="6">
        <x:v>14.0</x:v>
      </x:c>
      <x:c r="E68" s="6" t="str">
        <x:f>IFERROR(IF(VLOOKUP(D68,Giocatori!$A$4:$C$48,2,FALSE)&lt;&gt;"",VLOOKUP(D68,Giocatori!$A$4:$C$48,2,FALSE),"Giocatore "&amp;D68),"Giocatore "&amp;D68)</x:f>
        <x:v>Botta Francesco</x:v>
      </x:c>
      <x:c r="F68" s="10"/>
      <x:c r="G68" s="10"/>
      <x:c r="H68" s="10">
        <x:v>0.0</x:v>
      </x:c>
      <x:c r="I68" s="6" t="str">
        <x:f t="shared" si="1"/>
      </x:c>
      <x:c r="J68" s="10"/>
    </x:row>
    <x:row r="69" ht="13.5" customHeight="1">
      <x:c r="A69" s="6">
        <x:v>2.0</x:v>
      </x:c>
      <x:c r="B69" s="6" t="s">
        <x:v>95</x:v>
      </x:c>
      <x:c r="C69" s="6">
        <x:v>5.0</x:v>
      </x:c>
      <x:c r="D69" s="6">
        <x:v>10.0</x:v>
      </x:c>
      <x:c r="E69" s="6" t="str">
        <x:f>IFERROR(IF(VLOOKUP(D69,Giocatori!$A$4:$C$48,2,FALSE)&lt;&gt;"",VLOOKUP(D69,Giocatori!$A$4:$C$48,2,FALSE),"Giocatore "&amp;D69),"Giocatore "&amp;D69)</x:f>
        <x:v>Caliendo Nunzio</x:v>
      </x:c>
      <x:c r="F69" s="10"/>
      <x:c r="G69" s="10"/>
      <x:c r="H69" s="10">
        <x:v>0.0</x:v>
      </x:c>
      <x:c r="I69" s="6" t="str">
        <x:f t="shared" si="1"/>
      </x:c>
      <x:c r="J69" s="10"/>
    </x:row>
    <x:row r="70" ht="13.5" customHeight="1">
      <x:c r="A70" s="6">
        <x:v>2.0</x:v>
      </x:c>
      <x:c r="B70" s="6" t="s">
        <x:v>96</x:v>
      </x:c>
      <x:c r="C70" s="6">
        <x:v>1.0</x:v>
      </x:c>
      <x:c r="D70" s="6">
        <x:v>31.0</x:v>
      </x:c>
      <x:c r="E70" s="6" t="str">
        <x:f>IFERROR(IF(VLOOKUP(D70,Giocatori!$A$4:$C$48,2,FALSE)&lt;&gt;"",VLOOKUP(D70,Giocatori!$A$4:$C$48,2,FALSE),"Giocatore "&amp;D70),"Giocatore "&amp;D70)</x:f>
        <x:v>Anna Angiero</x:v>
      </x:c>
      <x:c r="F70" s="10"/>
      <x:c r="G70" s="10"/>
      <x:c r="H70" s="10">
        <x:v>0.0</x:v>
      </x:c>
      <x:c r="I70" s="6" t="str">
        <x:f t="shared" si="1"/>
      </x:c>
      <x:c r="J70" s="10"/>
    </x:row>
    <x:row r="71" ht="13.5" customHeight="1">
      <x:c r="A71" s="6">
        <x:v>2.0</x:v>
      </x:c>
      <x:c r="B71" s="6" t="s">
        <x:v>96</x:v>
      </x:c>
      <x:c r="C71" s="6">
        <x:v>2.0</x:v>
      </x:c>
      <x:c r="D71" s="6">
        <x:v>27.0</x:v>
      </x:c>
      <x:c r="E71" s="6" t="str">
        <x:f>IFERROR(IF(VLOOKUP(D71,Giocatori!$A$4:$C$48,2,FALSE)&lt;&gt;"",VLOOKUP(D71,Giocatori!$A$4:$C$48,2,FALSE),"Giocatore "&amp;D71),"Giocatore "&amp;D71)</x:f>
        <x:v>Tufano Michele</x:v>
      </x:c>
      <x:c r="F71" s="10"/>
      <x:c r="G71" s="10"/>
      <x:c r="H71" s="10">
        <x:v>0.0</x:v>
      </x:c>
      <x:c r="I71" s="6" t="str">
        <x:f t="shared" si="1"/>
      </x:c>
      <x:c r="J71" s="10"/>
    </x:row>
    <x:row r="72" ht="13.5" customHeight="1">
      <x:c r="A72" s="6">
        <x:v>2.0</x:v>
      </x:c>
      <x:c r="B72" s="6" t="s">
        <x:v>96</x:v>
      </x:c>
      <x:c r="C72" s="6">
        <x:v>3.0</x:v>
      </x:c>
      <x:c r="D72" s="6">
        <x:v>23.0</x:v>
      </x:c>
      <x:c r="E72" s="6" t="str">
        <x:f>IFERROR(IF(VLOOKUP(D72,Giocatori!$A$4:$C$48,2,FALSE)&lt;&gt;"",VLOOKUP(D72,Giocatori!$A$4:$C$48,2,FALSE),"Giocatore "&amp;D72),"Giocatore "&amp;D72)</x:f>
        <x:v>Amato Alessandro</x:v>
      </x:c>
      <x:c r="F72" s="10"/>
      <x:c r="G72" s="10"/>
      <x:c r="H72" s="10">
        <x:v>0.0</x:v>
      </x:c>
      <x:c r="I72" s="6" t="str">
        <x:f t="shared" si="1"/>
      </x:c>
      <x:c r="J72" s="10"/>
    </x:row>
    <x:row r="73" ht="13.5" customHeight="1">
      <x:c r="A73" s="6">
        <x:v>2.0</x:v>
      </x:c>
      <x:c r="B73" s="6" t="s">
        <x:v>96</x:v>
      </x:c>
      <x:c r="C73" s="6">
        <x:v>4.0</x:v>
      </x:c>
      <x:c r="D73" s="6">
        <x:v>19.0</x:v>
      </x:c>
      <x:c r="E73" s="6" t="str">
        <x:f>IFERROR(IF(VLOOKUP(D73,Giocatori!$A$4:$C$48,2,FALSE)&lt;&gt;"",VLOOKUP(D73,Giocatori!$A$4:$C$48,2,FALSE),"Giocatore "&amp;D73),"Giocatore "&amp;D73)</x:f>
        <x:v>Fuschillo Franco</x:v>
      </x:c>
      <x:c r="F73" s="10"/>
      <x:c r="G73" s="10"/>
      <x:c r="H73" s="10">
        <x:v>0.0</x:v>
      </x:c>
      <x:c r="I73" s="6" t="str">
        <x:f t="shared" si="1"/>
      </x:c>
      <x:c r="J73" s="10"/>
    </x:row>
    <x:row r="74" ht="13.5" customHeight="1">
      <x:c r="A74" s="6">
        <x:v>2.0</x:v>
      </x:c>
      <x:c r="B74" s="6" t="s">
        <x:v>96</x:v>
      </x:c>
      <x:c r="C74" s="6">
        <x:v>5.0</x:v>
      </x:c>
      <x:c r="D74" s="6">
        <x:v>15.0</x:v>
      </x:c>
      <x:c r="E74" s="6" t="str">
        <x:f>IFERROR(IF(VLOOKUP(D74,Giocatori!$A$4:$C$48,2,FALSE)&lt;&gt;"",VLOOKUP(D74,Giocatori!$A$4:$C$48,2,FALSE),"Giocatore "&amp;D74),"Giocatore "&amp;D74)</x:f>
        <x:v>Tufano Antonio</x:v>
      </x:c>
      <x:c r="F74" s="10"/>
      <x:c r="G74" s="10"/>
      <x:c r="H74" s="10">
        <x:v>0.0</x:v>
      </x:c>
      <x:c r="I74" s="6" t="str">
        <x:f t="shared" si="1"/>
      </x:c>
      <x:c r="J74" s="10"/>
    </x:row>
    <x:row r="75" ht="13.5" customHeight="1">
      <x:c r="A75" s="6">
        <x:v>3.0</x:v>
      </x:c>
      <x:c r="B75" s="6" t="s">
        <x:v>90</x:v>
      </x:c>
      <x:c r="C75" s="6">
        <x:v>1.0</x:v>
      </x:c>
      <x:c r="D75" s="6">
        <x:v>1.0</x:v>
      </x:c>
      <x:c r="E75" s="6" t="str">
        <x:f>IFERROR(IF(VLOOKUP(D75,Giocatori!$A$4:$C$48,2,FALSE)&lt;&gt;"",VLOOKUP(D75,Giocatori!$A$4:$C$48,2,FALSE),"Giocatore "&amp;D75),"Giocatore "&amp;D75)</x:f>
        <x:v>Zio Raffaele</x:v>
      </x:c>
      <x:c r="F75" s="10"/>
      <x:c r="G75" s="10"/>
      <x:c r="H75" s="10">
        <x:v>0.0</x:v>
      </x:c>
      <x:c r="I75" s="6" t="str">
        <x:f t="shared" si="1"/>
      </x:c>
      <x:c r="J75" s="10"/>
    </x:row>
    <x:row r="76" ht="13.5" customHeight="1">
      <x:c r="A76" s="6">
        <x:v>3.0</x:v>
      </x:c>
      <x:c r="B76" s="6" t="s">
        <x:v>90</x:v>
      </x:c>
      <x:c r="C76" s="6">
        <x:v>2.0</x:v>
      </x:c>
      <x:c r="D76" s="6">
        <x:v>27.0</x:v>
      </x:c>
      <x:c r="E76" s="6" t="str">
        <x:f>IFERROR(IF(VLOOKUP(D76,Giocatori!$A$4:$C$48,2,FALSE)&lt;&gt;"",VLOOKUP(D76,Giocatori!$A$4:$C$48,2,FALSE),"Giocatore "&amp;D76),"Giocatore "&amp;D76)</x:f>
        <x:v>Tufano Michele</x:v>
      </x:c>
      <x:c r="F76" s="10"/>
      <x:c r="G76" s="10"/>
      <x:c r="H76" s="10">
        <x:v>0.0</x:v>
      </x:c>
      <x:c r="I76" s="6" t="str">
        <x:f t="shared" si="1"/>
      </x:c>
      <x:c r="J76" s="10"/>
    </x:row>
    <x:row r="77" ht="13.5" customHeight="1">
      <x:c r="A77" s="6">
        <x:v>3.0</x:v>
      </x:c>
      <x:c r="B77" s="6" t="s">
        <x:v>90</x:v>
      </x:c>
      <x:c r="C77" s="6">
        <x:v>3.0</x:v>
      </x:c>
      <x:c r="D77" s="6">
        <x:v>18.0</x:v>
      </x:c>
      <x:c r="E77" s="6" t="str">
        <x:f>IFERROR(IF(VLOOKUP(D77,Giocatori!$A$4:$C$48,2,FALSE)&lt;&gt;"",VLOOKUP(D77,Giocatori!$A$4:$C$48,2,FALSE),"Giocatore "&amp;D77),"Giocatore "&amp;D77)</x:f>
        <x:v>Cafarelli Manolo</x:v>
      </x:c>
      <x:c r="F77" s="10"/>
      <x:c r="G77" s="10"/>
      <x:c r="H77" s="10">
        <x:v>0.0</x:v>
      </x:c>
      <x:c r="I77" s="6" t="str">
        <x:f t="shared" si="1"/>
      </x:c>
      <x:c r="J77" s="10"/>
    </x:row>
    <x:row r="78" ht="13.5" customHeight="1">
      <x:c r="A78" s="6">
        <x:v>3.0</x:v>
      </x:c>
      <x:c r="B78" s="6" t="s">
        <x:v>90</x:v>
      </x:c>
      <x:c r="C78" s="6">
        <x:v>4.0</x:v>
      </x:c>
      <x:c r="D78" s="6">
        <x:v>9.0</x:v>
      </x:c>
      <x:c r="E78" s="6" t="str">
        <x:f>IFERROR(IF(VLOOKUP(D78,Giocatori!$A$4:$C$48,2,FALSE)&lt;&gt;"",VLOOKUP(D78,Giocatori!$A$4:$C$48,2,FALSE),"Giocatore "&amp;D78),"Giocatore "&amp;D78)</x:f>
        <x:v>Atria Gregorio</x:v>
      </x:c>
      <x:c r="F78" s="10"/>
      <x:c r="G78" s="10"/>
      <x:c r="H78" s="10">
        <x:v>0.0</x:v>
      </x:c>
      <x:c r="I78" s="6" t="str">
        <x:f t="shared" si="1"/>
      </x:c>
      <x:c r="J78" s="10"/>
    </x:row>
    <x:row r="79" ht="13.5" customHeight="1">
      <x:c r="A79" s="6">
        <x:v>3.0</x:v>
      </x:c>
      <x:c r="B79" s="6" t="s">
        <x:v>90</x:v>
      </x:c>
      <x:c r="C79" s="6">
        <x:v>5.0</x:v>
      </x:c>
      <x:c r="D79" s="6">
        <x:v>35.0</x:v>
      </x:c>
      <x:c r="E79" s="6" t="str">
        <x:f>IFERROR(IF(VLOOKUP(D79,Giocatori!$A$4:$C$48,2,FALSE)&lt;&gt;"",VLOOKUP(D79,Giocatori!$A$4:$C$48,2,FALSE),"Giocatore "&amp;D79),"Giocatore "&amp;D79)</x:f>
        <x:v>Napolitano Raffaele</x:v>
      </x:c>
      <x:c r="F79" s="10"/>
      <x:c r="G79" s="10"/>
      <x:c r="H79" s="10">
        <x:v>0.0</x:v>
      </x:c>
      <x:c r="I79" s="6" t="str">
        <x:f t="shared" si="1"/>
      </x:c>
      <x:c r="J79" s="10"/>
    </x:row>
    <x:row r="80" ht="13.5" customHeight="1">
      <x:c r="A80" s="6">
        <x:v>3.0</x:v>
      </x:c>
      <x:c r="B80" s="6" t="s">
        <x:v>91</x:v>
      </x:c>
      <x:c r="C80" s="6">
        <x:v>1.0</x:v>
      </x:c>
      <x:c r="D80" s="6">
        <x:v>6.0</x:v>
      </x:c>
      <x:c r="E80" s="6" t="str">
        <x:f>IFERROR(IF(VLOOKUP(D80,Giocatori!$A$4:$C$48,2,FALSE)&lt;&gt;"",VLOOKUP(D80,Giocatori!$A$4:$C$48,2,FALSE),"Giocatore "&amp;D80),"Giocatore "&amp;D80)</x:f>
        <x:v>Sommese Antonio</x:v>
      </x:c>
      <x:c r="F80" s="10"/>
      <x:c r="G80" s="10"/>
      <x:c r="H80" s="10">
        <x:v>0.0</x:v>
      </x:c>
      <x:c r="I80" s="6" t="str">
        <x:f t="shared" si="1"/>
      </x:c>
      <x:c r="J80" s="10"/>
    </x:row>
    <x:row r="81" ht="13.5" customHeight="1">
      <x:c r="A81" s="6">
        <x:v>3.0</x:v>
      </x:c>
      <x:c r="B81" s="6" t="s">
        <x:v>91</x:v>
      </x:c>
      <x:c r="C81" s="6">
        <x:v>2.0</x:v>
      </x:c>
      <x:c r="D81" s="6">
        <x:v>32.0</x:v>
      </x:c>
      <x:c r="E81" s="6" t="str">
        <x:f>IFERROR(IF(VLOOKUP(D81,Giocatori!$A$4:$C$48,2,FALSE)&lt;&gt;"",VLOOKUP(D81,Giocatori!$A$4:$C$48,2,FALSE),"Giocatore "&amp;D81),"Giocatore "&amp;D81)</x:f>
        <x:v>Notaro Giacomo</x:v>
      </x:c>
      <x:c r="F81" s="10"/>
      <x:c r="G81" s="10"/>
      <x:c r="H81" s="10">
        <x:v>0.0</x:v>
      </x:c>
      <x:c r="I81" s="6" t="str">
        <x:f t="shared" si="1"/>
      </x:c>
      <x:c r="J81" s="10"/>
    </x:row>
    <x:row r="82" ht="13.5" customHeight="1">
      <x:c r="A82" s="6">
        <x:v>3.0</x:v>
      </x:c>
      <x:c r="B82" s="6" t="s">
        <x:v>91</x:v>
      </x:c>
      <x:c r="C82" s="6">
        <x:v>3.0</x:v>
      </x:c>
      <x:c r="D82" s="6">
        <x:v>23.0</x:v>
      </x:c>
      <x:c r="E82" s="6" t="str">
        <x:f>IFERROR(IF(VLOOKUP(D82,Giocatori!$A$4:$C$48,2,FALSE)&lt;&gt;"",VLOOKUP(D82,Giocatori!$A$4:$C$48,2,FALSE),"Giocatore "&amp;D82),"Giocatore "&amp;D82)</x:f>
        <x:v>Amato Alessandro</x:v>
      </x:c>
      <x:c r="F82" s="10"/>
      <x:c r="G82" s="10"/>
      <x:c r="H82" s="10">
        <x:v>0.0</x:v>
      </x:c>
      <x:c r="I82" s="6" t="str">
        <x:f t="shared" si="1"/>
      </x:c>
      <x:c r="J82" s="10"/>
    </x:row>
    <x:row r="83" ht="13.5" customHeight="1">
      <x:c r="A83" s="6">
        <x:v>3.0</x:v>
      </x:c>
      <x:c r="B83" s="6" t="s">
        <x:v>91</x:v>
      </x:c>
      <x:c r="C83" s="6">
        <x:v>4.0</x:v>
      </x:c>
      <x:c r="D83" s="6">
        <x:v>14.0</x:v>
      </x:c>
      <x:c r="E83" s="6" t="str">
        <x:f>IFERROR(IF(VLOOKUP(D83,Giocatori!$A$4:$C$48,2,FALSE)&lt;&gt;"",VLOOKUP(D83,Giocatori!$A$4:$C$48,2,FALSE),"Giocatore "&amp;D83),"Giocatore "&amp;D83)</x:f>
        <x:v>Botta Francesco</x:v>
      </x:c>
      <x:c r="F83" s="10"/>
      <x:c r="G83" s="10"/>
      <x:c r="H83" s="10">
        <x:v>0.0</x:v>
      </x:c>
      <x:c r="I83" s="6" t="str">
        <x:f t="shared" si="1"/>
      </x:c>
      <x:c r="J83" s="10"/>
    </x:row>
    <x:row r="84" ht="13.5" customHeight="1">
      <x:c r="A84" s="6">
        <x:v>3.0</x:v>
      </x:c>
      <x:c r="B84" s="6" t="s">
        <x:v>91</x:v>
      </x:c>
      <x:c r="C84" s="6">
        <x:v>5.0</x:v>
      </x:c>
      <x:c r="D84" s="6">
        <x:v>5.0</x:v>
      </x:c>
      <x:c r="E84" s="6" t="str">
        <x:f>IFERROR(IF(VLOOKUP(D84,Giocatori!$A$4:$C$48,2,FALSE)&lt;&gt;"",VLOOKUP(D84,Giocatori!$A$4:$C$48,2,FALSE),"Giocatore "&amp;D84),"Giocatore "&amp;D84)</x:f>
        <x:v>La Marca Carlo</x:v>
      </x:c>
      <x:c r="F84" s="10"/>
      <x:c r="G84" s="10"/>
      <x:c r="H84" s="10">
        <x:v>0.0</x:v>
      </x:c>
      <x:c r="I84" s="6" t="str">
        <x:f t="shared" si="1"/>
      </x:c>
      <x:c r="J84" s="10"/>
    </x:row>
    <x:row r="85" ht="13.5" customHeight="1">
      <x:c r="A85" s="6">
        <x:v>3.0</x:v>
      </x:c>
      <x:c r="B85" s="6" t="s">
        <x:v>92</x:v>
      </x:c>
      <x:c r="C85" s="6">
        <x:v>1.0</x:v>
      </x:c>
      <x:c r="D85" s="6">
        <x:v>11.0</x:v>
      </x:c>
      <x:c r="E85" s="6" t="str">
        <x:f>IFERROR(IF(VLOOKUP(D85,Giocatori!$A$4:$C$48,2,FALSE)&lt;&gt;"",VLOOKUP(D85,Giocatori!$A$4:$C$48,2,FALSE),"Giocatore "&amp;D85),"Giocatore "&amp;D85)</x:f>
        <x:v>Moccia Biagio</x:v>
      </x:c>
      <x:c r="F85" s="10"/>
      <x:c r="G85" s="10"/>
      <x:c r="H85" s="10">
        <x:v>0.0</x:v>
      </x:c>
      <x:c r="I85" s="6" t="str">
        <x:f t="shared" si="1"/>
      </x:c>
      <x:c r="J85" s="10"/>
    </x:row>
    <x:row r="86" ht="13.5" customHeight="1">
      <x:c r="A86" s="6">
        <x:v>3.0</x:v>
      </x:c>
      <x:c r="B86" s="6" t="s">
        <x:v>92</x:v>
      </x:c>
      <x:c r="C86" s="6">
        <x:v>2.0</x:v>
      </x:c>
      <x:c r="D86" s="6">
        <x:v>2.0</x:v>
      </x:c>
      <x:c r="E86" s="6" t="str">
        <x:f>IFERROR(IF(VLOOKUP(D86,Giocatori!$A$4:$C$48,2,FALSE)&lt;&gt;"",VLOOKUP(D86,Giocatori!$A$4:$C$48,2,FALSE),"Giocatore "&amp;D86),"Giocatore "&amp;D86)</x:f>
        <x:v>Nicola Mauro</x:v>
      </x:c>
      <x:c r="F86" s="10"/>
      <x:c r="G86" s="10"/>
      <x:c r="H86" s="10">
        <x:v>0.0</x:v>
      </x:c>
      <x:c r="I86" s="6" t="str">
        <x:f t="shared" si="1"/>
      </x:c>
      <x:c r="J86" s="10"/>
    </x:row>
    <x:row r="87" ht="13.5" customHeight="1">
      <x:c r="A87" s="6">
        <x:v>3.0</x:v>
      </x:c>
      <x:c r="B87" s="6" t="s">
        <x:v>92</x:v>
      </x:c>
      <x:c r="C87" s="6">
        <x:v>3.0</x:v>
      </x:c>
      <x:c r="D87" s="6">
        <x:v>28.0</x:v>
      </x:c>
      <x:c r="E87" s="6" t="str">
        <x:f>IFERROR(IF(VLOOKUP(D87,Giocatori!$A$4:$C$48,2,FALSE)&lt;&gt;"",VLOOKUP(D87,Giocatori!$A$4:$C$48,2,FALSE),"Giocatore "&amp;D87),"Giocatore "&amp;D87)</x:f>
        <x:v>Ambrosino Raffaele</x:v>
      </x:c>
      <x:c r="F87" s="10"/>
      <x:c r="G87" s="10"/>
      <x:c r="H87" s="10">
        <x:v>0.0</x:v>
      </x:c>
      <x:c r="I87" s="6" t="str">
        <x:f t="shared" si="1"/>
      </x:c>
      <x:c r="J87" s="10"/>
    </x:row>
    <x:row r="88" ht="13.5" customHeight="1">
      <x:c r="A88" s="6">
        <x:v>3.0</x:v>
      </x:c>
      <x:c r="B88" s="6" t="s">
        <x:v>92</x:v>
      </x:c>
      <x:c r="C88" s="6">
        <x:v>4.0</x:v>
      </x:c>
      <x:c r="D88" s="6">
        <x:v>19.0</x:v>
      </x:c>
      <x:c r="E88" s="6" t="str">
        <x:f>IFERROR(IF(VLOOKUP(D88,Giocatori!$A$4:$C$48,2,FALSE)&lt;&gt;"",VLOOKUP(D88,Giocatori!$A$4:$C$48,2,FALSE),"Giocatore "&amp;D88),"Giocatore "&amp;D88)</x:f>
        <x:v>Fuschillo Franco</x:v>
      </x:c>
      <x:c r="F88" s="10"/>
      <x:c r="G88" s="10"/>
      <x:c r="H88" s="10">
        <x:v>0.0</x:v>
      </x:c>
      <x:c r="I88" s="6" t="str">
        <x:f t="shared" si="1"/>
      </x:c>
      <x:c r="J88" s="10"/>
    </x:row>
    <x:row r="89" ht="13.5" customHeight="1">
      <x:c r="A89" s="6">
        <x:v>3.0</x:v>
      </x:c>
      <x:c r="B89" s="6" t="s">
        <x:v>92</x:v>
      </x:c>
      <x:c r="C89" s="6">
        <x:v>5.0</x:v>
      </x:c>
      <x:c r="D89" s="6">
        <x:v>10.0</x:v>
      </x:c>
      <x:c r="E89" s="6" t="str">
        <x:f>IFERROR(IF(VLOOKUP(D89,Giocatori!$A$4:$C$48,2,FALSE)&lt;&gt;"",VLOOKUP(D89,Giocatori!$A$4:$C$48,2,FALSE),"Giocatore "&amp;D89),"Giocatore "&amp;D89)</x:f>
        <x:v>Caliendo Nunzio</x:v>
      </x:c>
      <x:c r="F89" s="10"/>
      <x:c r="G89" s="10"/>
      <x:c r="H89" s="10">
        <x:v>0.0</x:v>
      </x:c>
      <x:c r="I89" s="6" t="str">
        <x:f t="shared" si="1"/>
      </x:c>
      <x:c r="J89" s="10"/>
    </x:row>
    <x:row r="90" ht="13.5" customHeight="1">
      <x:c r="A90" s="6">
        <x:v>3.0</x:v>
      </x:c>
      <x:c r="B90" s="6" t="s">
        <x:v>93</x:v>
      </x:c>
      <x:c r="C90" s="6">
        <x:v>1.0</x:v>
      </x:c>
      <x:c r="D90" s="6">
        <x:v>16.0</x:v>
      </x:c>
      <x:c r="E90" s="6" t="str">
        <x:f>IFERROR(IF(VLOOKUP(D90,Giocatori!$A$4:$C$48,2,FALSE)&lt;&gt;"",VLOOKUP(D90,Giocatori!$A$4:$C$48,2,FALSE),"Giocatore "&amp;D90),"Giocatore "&amp;D90)</x:f>
        <x:v>Iorio Raffaele</x:v>
      </x:c>
      <x:c r="F90" s="10"/>
      <x:c r="G90" s="10"/>
      <x:c r="H90" s="10">
        <x:v>0.0</x:v>
      </x:c>
      <x:c r="I90" s="6" t="str">
        <x:f t="shared" si="1"/>
      </x:c>
      <x:c r="J90" s="10"/>
    </x:row>
    <x:row r="91" ht="13.5" customHeight="1">
      <x:c r="A91" s="6">
        <x:v>3.0</x:v>
      </x:c>
      <x:c r="B91" s="6" t="s">
        <x:v>93</x:v>
      </x:c>
      <x:c r="C91" s="6">
        <x:v>2.0</x:v>
      </x:c>
      <x:c r="D91" s="6">
        <x:v>7.0</x:v>
      </x:c>
      <x:c r="E91" s="6" t="str">
        <x:f>IFERROR(IF(VLOOKUP(D91,Giocatori!$A$4:$C$48,2,FALSE)&lt;&gt;"",VLOOKUP(D91,Giocatori!$A$4:$C$48,2,FALSE),"Giocatore "&amp;D91),"Giocatore "&amp;D91)</x:f>
        <x:v>Notaro massimo</x:v>
      </x:c>
      <x:c r="F91" s="10"/>
      <x:c r="G91" s="10"/>
      <x:c r="H91" s="10">
        <x:v>0.0</x:v>
      </x:c>
      <x:c r="I91" s="6" t="str">
        <x:f t="shared" si="1"/>
      </x:c>
      <x:c r="J91" s="10"/>
    </x:row>
    <x:row r="92" ht="13.5" customHeight="1">
      <x:c r="A92" s="6">
        <x:v>3.0</x:v>
      </x:c>
      <x:c r="B92" s="6" t="s">
        <x:v>93</x:v>
      </x:c>
      <x:c r="C92" s="6">
        <x:v>3.0</x:v>
      </x:c>
      <x:c r="D92" s="6">
        <x:v>33.0</x:v>
      </x:c>
      <x:c r="E92" s="6" t="str">
        <x:f>IFERROR(IF(VLOOKUP(D92,Giocatori!$A$4:$C$48,2,FALSE)&lt;&gt;"",VLOOKUP(D92,Giocatori!$A$4:$C$48,2,FALSE),"Giocatore "&amp;D92),"Giocatore "&amp;D92)</x:f>
        <x:v>Nappi Nestore</x:v>
      </x:c>
      <x:c r="F92" s="10"/>
      <x:c r="G92" s="10"/>
      <x:c r="H92" s="10">
        <x:v>0.0</x:v>
      </x:c>
      <x:c r="I92" s="6" t="str">
        <x:f t="shared" si="1"/>
      </x:c>
      <x:c r="J92" s="10"/>
    </x:row>
    <x:row r="93" ht="13.5" customHeight="1">
      <x:c r="A93" s="6">
        <x:v>3.0</x:v>
      </x:c>
      <x:c r="B93" s="6" t="s">
        <x:v>93</x:v>
      </x:c>
      <x:c r="C93" s="6">
        <x:v>4.0</x:v>
      </x:c>
      <x:c r="D93" s="6">
        <x:v>24.0</x:v>
      </x:c>
      <x:c r="E93" s="6" t="str">
        <x:f>IFERROR(IF(VLOOKUP(D93,Giocatori!$A$4:$C$48,2,FALSE)&lt;&gt;"",VLOOKUP(D93,Giocatori!$A$4:$C$48,2,FALSE),"Giocatore "&amp;D93),"Giocatore "&amp;D93)</x:f>
        <x:v>Napolitano Pasquale</x:v>
      </x:c>
      <x:c r="F93" s="10"/>
      <x:c r="G93" s="10"/>
      <x:c r="H93" s="10">
        <x:v>0.0</x:v>
      </x:c>
      <x:c r="I93" s="6" t="str">
        <x:f t="shared" si="1"/>
      </x:c>
      <x:c r="J93" s="10"/>
    </x:row>
    <x:row r="94" ht="13.5" customHeight="1">
      <x:c r="A94" s="6">
        <x:v>3.0</x:v>
      </x:c>
      <x:c r="B94" s="6" t="s">
        <x:v>93</x:v>
      </x:c>
      <x:c r="C94" s="6">
        <x:v>5.0</x:v>
      </x:c>
      <x:c r="D94" s="6">
        <x:v>15.0</x:v>
      </x:c>
      <x:c r="E94" s="6" t="str">
        <x:f>IFERROR(IF(VLOOKUP(D94,Giocatori!$A$4:$C$48,2,FALSE)&lt;&gt;"",VLOOKUP(D94,Giocatori!$A$4:$C$48,2,FALSE),"Giocatore "&amp;D94),"Giocatore "&amp;D94)</x:f>
        <x:v>Tufano Antonio</x:v>
      </x:c>
      <x:c r="F94" s="10"/>
      <x:c r="G94" s="10"/>
      <x:c r="H94" s="10">
        <x:v>0.0</x:v>
      </x:c>
      <x:c r="I94" s="6" t="str">
        <x:f t="shared" si="1"/>
      </x:c>
      <x:c r="J94" s="10"/>
    </x:row>
    <x:row r="95" ht="13.5" customHeight="1">
      <x:c r="A95" s="6">
        <x:v>3.0</x:v>
      </x:c>
      <x:c r="B95" s="6" t="s">
        <x:v>94</x:v>
      </x:c>
      <x:c r="C95" s="6">
        <x:v>1.0</x:v>
      </x:c>
      <x:c r="D95" s="6">
        <x:v>21.0</x:v>
      </x:c>
      <x:c r="E95" s="6" t="str">
        <x:f>IFERROR(IF(VLOOKUP(D95,Giocatori!$A$4:$C$48,2,FALSE)&lt;&gt;"",VLOOKUP(D95,Giocatori!$A$4:$C$48,2,FALSE),"Giocatore "&amp;D95),"Giocatore "&amp;D95)</x:f>
        <x:v>Mauro Candice</x:v>
      </x:c>
      <x:c r="F95" s="10"/>
      <x:c r="G95" s="10"/>
      <x:c r="H95" s="10">
        <x:v>0.0</x:v>
      </x:c>
      <x:c r="I95" s="6" t="str">
        <x:f t="shared" si="1"/>
      </x:c>
      <x:c r="J95" s="10"/>
    </x:row>
    <x:row r="96" ht="13.5" customHeight="1">
      <x:c r="A96" s="6">
        <x:v>3.0</x:v>
      </x:c>
      <x:c r="B96" s="6" t="s">
        <x:v>94</x:v>
      </x:c>
      <x:c r="C96" s="6">
        <x:v>2.0</x:v>
      </x:c>
      <x:c r="D96" s="6">
        <x:v>12.0</x:v>
      </x:c>
      <x:c r="E96" s="6" t="str">
        <x:f>IFERROR(IF(VLOOKUP(D96,Giocatori!$A$4:$C$48,2,FALSE)&lt;&gt;"",VLOOKUP(D96,Giocatori!$A$4:$C$48,2,FALSE),"Giocatore "&amp;D96),"Giocatore "&amp;D96)</x:f>
        <x:v>De Falco Andrea</x:v>
      </x:c>
      <x:c r="F96" s="10"/>
      <x:c r="G96" s="10"/>
      <x:c r="H96" s="10">
        <x:v>0.0</x:v>
      </x:c>
      <x:c r="I96" s="6" t="str">
        <x:f t="shared" si="1"/>
      </x:c>
      <x:c r="J96" s="10"/>
    </x:row>
    <x:row r="97" ht="13.5" customHeight="1">
      <x:c r="A97" s="6">
        <x:v>3.0</x:v>
      </x:c>
      <x:c r="B97" s="6" t="s">
        <x:v>94</x:v>
      </x:c>
      <x:c r="C97" s="6">
        <x:v>3.0</x:v>
      </x:c>
      <x:c r="D97" s="6">
        <x:v>3.0</x:v>
      </x:c>
      <x:c r="E97" s="6" t="str">
        <x:f>IFERROR(IF(VLOOKUP(D97,Giocatori!$A$4:$C$48,2,FALSE)&lt;&gt;"",VLOOKUP(D97,Giocatori!$A$4:$C$48,2,FALSE),"Giocatore "&amp;D97),"Giocatore "&amp;D97)</x:f>
        <x:v>Beracci Lucio</x:v>
      </x:c>
      <x:c r="F97" s="10"/>
      <x:c r="G97" s="10"/>
      <x:c r="H97" s="10">
        <x:v>0.0</x:v>
      </x:c>
      <x:c r="I97" s="6" t="str">
        <x:f t="shared" si="1"/>
      </x:c>
      <x:c r="J97" s="10"/>
    </x:row>
    <x:row r="98" ht="13.5" customHeight="1">
      <x:c r="A98" s="6">
        <x:v>3.0</x:v>
      </x:c>
      <x:c r="B98" s="6" t="s">
        <x:v>94</x:v>
      </x:c>
      <x:c r="C98" s="6">
        <x:v>4.0</x:v>
      </x:c>
      <x:c r="D98" s="6">
        <x:v>29.0</x:v>
      </x:c>
      <x:c r="E98" s="6" t="str">
        <x:f>IFERROR(IF(VLOOKUP(D98,Giocatori!$A$4:$C$48,2,FALSE)&lt;&gt;"",VLOOKUP(D98,Giocatori!$A$4:$C$48,2,FALSE),"Giocatore "&amp;D98),"Giocatore "&amp;D98)</x:f>
        <x:v>Tufano Giovanni</x:v>
      </x:c>
      <x:c r="F98" s="10"/>
      <x:c r="G98" s="10"/>
      <x:c r="H98" s="10">
        <x:v>0.0</x:v>
      </x:c>
      <x:c r="I98" s="6" t="str">
        <x:f t="shared" si="1"/>
      </x:c>
      <x:c r="J98" s="10"/>
    </x:row>
    <x:row r="99" ht="13.5" customHeight="1">
      <x:c r="A99" s="6">
        <x:v>3.0</x:v>
      </x:c>
      <x:c r="B99" s="6" t="s">
        <x:v>94</x:v>
      </x:c>
      <x:c r="C99" s="6">
        <x:v>5.0</x:v>
      </x:c>
      <x:c r="D99" s="6">
        <x:v>20.0</x:v>
      </x:c>
      <x:c r="E99" s="6" t="str">
        <x:f>IFERROR(IF(VLOOKUP(D99,Giocatori!$A$4:$C$48,2,FALSE)&lt;&gt;"",VLOOKUP(D99,Giocatori!$A$4:$C$48,2,FALSE),"Giocatore "&amp;D99),"Giocatore "&amp;D99)</x:f>
        <x:v>Di Grazia Salvatore</x:v>
      </x:c>
      <x:c r="F99" s="10"/>
      <x:c r="G99" s="10"/>
      <x:c r="H99" s="10">
        <x:v>0.0</x:v>
      </x:c>
      <x:c r="I99" s="6" t="str">
        <x:f t="shared" si="1"/>
      </x:c>
      <x:c r="J99" s="10"/>
    </x:row>
    <x:row r="100" ht="13.5" customHeight="1">
      <x:c r="A100" s="6">
        <x:v>3.0</x:v>
      </x:c>
      <x:c r="B100" s="6" t="s">
        <x:v>95</x:v>
      </x:c>
      <x:c r="C100" s="6">
        <x:v>1.0</x:v>
      </x:c>
      <x:c r="D100" s="6">
        <x:v>26.0</x:v>
      </x:c>
      <x:c r="E100" s="6" t="str">
        <x:f>IFERROR(IF(VLOOKUP(D100,Giocatori!$A$4:$C$48,2,FALSE)&lt;&gt;"",VLOOKUP(D100,Giocatori!$A$4:$C$48,2,FALSE),"Giocatore "&amp;D100),"Giocatore "&amp;D100)</x:f>
        <x:v>La Marca Franco</x:v>
      </x:c>
      <x:c r="F100" s="10"/>
      <x:c r="G100" s="10"/>
      <x:c r="H100" s="10">
        <x:v>0.0</x:v>
      </x:c>
      <x:c r="I100" s="6" t="str">
        <x:f t="shared" si="1"/>
      </x:c>
      <x:c r="J100" s="10"/>
    </x:row>
    <x:row r="101" ht="13.5" customHeight="1">
      <x:c r="A101" s="6">
        <x:v>3.0</x:v>
      </x:c>
      <x:c r="B101" s="6" t="s">
        <x:v>95</x:v>
      </x:c>
      <x:c r="C101" s="6">
        <x:v>2.0</x:v>
      </x:c>
      <x:c r="D101" s="6">
        <x:v>17.0</x:v>
      </x:c>
      <x:c r="E101" s="6" t="str">
        <x:f>IFERROR(IF(VLOOKUP(D101,Giocatori!$A$4:$C$48,2,FALSE)&lt;&gt;"",VLOOKUP(D101,Giocatori!$A$4:$C$48,2,FALSE),"Giocatore "&amp;D101),"Giocatore "&amp;D101)</x:f>
        <x:v>Scogliamiglio Alfredo</x:v>
      </x:c>
      <x:c r="F101" s="10"/>
      <x:c r="G101" s="10"/>
      <x:c r="H101" s="10">
        <x:v>0.0</x:v>
      </x:c>
      <x:c r="I101" s="6" t="str">
        <x:f t="shared" si="1"/>
      </x:c>
      <x:c r="J101" s="10"/>
    </x:row>
    <x:row r="102" ht="13.5" customHeight="1">
      <x:c r="A102" s="6">
        <x:v>3.0</x:v>
      </x:c>
      <x:c r="B102" s="6" t="s">
        <x:v>95</x:v>
      </x:c>
      <x:c r="C102" s="6">
        <x:v>3.0</x:v>
      </x:c>
      <x:c r="D102" s="6">
        <x:v>8.0</x:v>
      </x:c>
      <x:c r="E102" s="6" t="str">
        <x:f>IFERROR(IF(VLOOKUP(D102,Giocatori!$A$4:$C$48,2,FALSE)&lt;&gt;"",VLOOKUP(D102,Giocatori!$A$4:$C$48,2,FALSE),"Giocatore "&amp;D102),"Giocatore "&amp;D102)</x:f>
        <x:v>Beracci Benedetto</x:v>
      </x:c>
      <x:c r="F102" s="10"/>
      <x:c r="G102" s="10"/>
      <x:c r="H102" s="10">
        <x:v>0.0</x:v>
      </x:c>
      <x:c r="I102" s="6" t="str">
        <x:f t="shared" si="1"/>
      </x:c>
      <x:c r="J102" s="10"/>
    </x:row>
    <x:row r="103" ht="13.5" customHeight="1">
      <x:c r="A103" s="6">
        <x:v>3.0</x:v>
      </x:c>
      <x:c r="B103" s="6" t="s">
        <x:v>95</x:v>
      </x:c>
      <x:c r="C103" s="6">
        <x:v>4.0</x:v>
      </x:c>
      <x:c r="D103" s="6">
        <x:v>34.0</x:v>
      </x:c>
      <x:c r="E103" s="6" t="str">
        <x:f>IFERROR(IF(VLOOKUP(D103,Giocatori!$A$4:$C$48,2,FALSE)&lt;&gt;"",VLOOKUP(D103,Giocatori!$A$4:$C$48,2,FALSE),"Giocatore "&amp;D103),"Giocatore "&amp;D103)</x:f>
        <x:v>Pasquale Marotta</x:v>
      </x:c>
      <x:c r="F103" s="10"/>
      <x:c r="G103" s="10"/>
      <x:c r="H103" s="10">
        <x:v>0.0</x:v>
      </x:c>
      <x:c r="I103" s="6" t="str">
        <x:f t="shared" si="1"/>
      </x:c>
      <x:c r="J103" s="10"/>
    </x:row>
    <x:row r="104" ht="13.5" customHeight="1">
      <x:c r="A104" s="6">
        <x:v>3.0</x:v>
      </x:c>
      <x:c r="B104" s="6" t="s">
        <x:v>95</x:v>
      </x:c>
      <x:c r="C104" s="6">
        <x:v>5.0</x:v>
      </x:c>
      <x:c r="D104" s="6">
        <x:v>25.0</x:v>
      </x:c>
      <x:c r="E104" s="6" t="str">
        <x:f>IFERROR(IF(VLOOKUP(D104,Giocatori!$A$4:$C$48,2,FALSE)&lt;&gt;"",VLOOKUP(D104,Giocatori!$A$4:$C$48,2,FALSE),"Giocatore "&amp;D104),"Giocatore "&amp;D104)</x:f>
        <x:v>Fontanella Giuseppe</x:v>
      </x:c>
      <x:c r="F104" s="10"/>
      <x:c r="G104" s="10"/>
      <x:c r="H104" s="10">
        <x:v>0.0</x:v>
      </x:c>
      <x:c r="I104" s="6" t="str">
        <x:f t="shared" si="1"/>
      </x:c>
      <x:c r="J104" s="10"/>
    </x:row>
    <x:row r="105" ht="13.5" customHeight="1">
      <x:c r="A105" s="6">
        <x:v>3.0</x:v>
      </x:c>
      <x:c r="B105" s="6" t="s">
        <x:v>96</x:v>
      </x:c>
      <x:c r="C105" s="6">
        <x:v>1.0</x:v>
      </x:c>
      <x:c r="D105" s="6">
        <x:v>31.0</x:v>
      </x:c>
      <x:c r="E105" s="6" t="str">
        <x:f>IFERROR(IF(VLOOKUP(D105,Giocatori!$A$4:$C$48,2,FALSE)&lt;&gt;"",VLOOKUP(D105,Giocatori!$A$4:$C$48,2,FALSE),"Giocatore "&amp;D105),"Giocatore "&amp;D105)</x:f>
        <x:v>Anna Angiero</x:v>
      </x:c>
      <x:c r="F105" s="10"/>
      <x:c r="G105" s="10"/>
      <x:c r="H105" s="10">
        <x:v>0.0</x:v>
      </x:c>
      <x:c r="I105" s="6" t="str">
        <x:f t="shared" si="1"/>
      </x:c>
      <x:c r="J105" s="10"/>
    </x:row>
    <x:row r="106" ht="13.5" customHeight="1">
      <x:c r="A106" s="6">
        <x:v>3.0</x:v>
      </x:c>
      <x:c r="B106" s="6" t="s">
        <x:v>96</x:v>
      </x:c>
      <x:c r="C106" s="6">
        <x:v>2.0</x:v>
      </x:c>
      <x:c r="D106" s="6">
        <x:v>22.0</x:v>
      </x:c>
      <x:c r="E106" s="6" t="str">
        <x:f>IFERROR(IF(VLOOKUP(D106,Giocatori!$A$4:$C$48,2,FALSE)&lt;&gt;"",VLOOKUP(D106,Giocatori!$A$4:$C$48,2,FALSE),"Giocatore "&amp;D106),"Giocatore "&amp;D106)</x:f>
        <x:v>Michele Zappone</x:v>
      </x:c>
      <x:c r="F106" s="10"/>
      <x:c r="G106" s="10"/>
      <x:c r="H106" s="10">
        <x:v>0.0</x:v>
      </x:c>
      <x:c r="I106" s="6" t="str">
        <x:f t="shared" si="1"/>
      </x:c>
      <x:c r="J106" s="10"/>
    </x:row>
    <x:row r="107" ht="13.5" customHeight="1">
      <x:c r="A107" s="6">
        <x:v>3.0</x:v>
      </x:c>
      <x:c r="B107" s="6" t="s">
        <x:v>96</x:v>
      </x:c>
      <x:c r="C107" s="6">
        <x:v>3.0</x:v>
      </x:c>
      <x:c r="D107" s="6">
        <x:v>13.0</x:v>
      </x:c>
      <x:c r="E107" s="6" t="str">
        <x:f>IFERROR(IF(VLOOKUP(D107,Giocatori!$A$4:$C$48,2,FALSE)&lt;&gt;"",VLOOKUP(D107,Giocatori!$A$4:$C$48,2,FALSE),"Giocatore "&amp;D107),"Giocatore "&amp;D107)</x:f>
        <x:v>Corbo Alessandro</x:v>
      </x:c>
      <x:c r="F107" s="10"/>
      <x:c r="G107" s="10"/>
      <x:c r="H107" s="10">
        <x:v>0.0</x:v>
      </x:c>
      <x:c r="I107" s="6" t="str">
        <x:f t="shared" si="1"/>
      </x:c>
      <x:c r="J107" s="10"/>
    </x:row>
    <x:row r="108" ht="13.5" customHeight="1">
      <x:c r="A108" s="6">
        <x:v>3.0</x:v>
      </x:c>
      <x:c r="B108" s="6" t="s">
        <x:v>96</x:v>
      </x:c>
      <x:c r="C108" s="6">
        <x:v>4.0</x:v>
      </x:c>
      <x:c r="D108" s="6">
        <x:v>4.0</x:v>
      </x:c>
      <x:c r="E108" s="6" t="str">
        <x:f>IFERROR(IF(VLOOKUP(D108,Giocatori!$A$4:$C$48,2,FALSE)&lt;&gt;"",VLOOKUP(D108,Giocatori!$A$4:$C$48,2,FALSE),"Giocatore "&amp;D108),"Giocatore "&amp;D108)</x:f>
        <x:v>Annunziata Michele</x:v>
      </x:c>
      <x:c r="F108" s="10"/>
      <x:c r="G108" s="10"/>
      <x:c r="H108" s="10">
        <x:v>0.0</x:v>
      </x:c>
      <x:c r="I108" s="6" t="str">
        <x:f t="shared" si="1"/>
      </x:c>
      <x:c r="J108" s="10"/>
    </x:row>
    <x:row r="109" ht="13.5" customHeight="1">
      <x:c r="A109" s="6">
        <x:v>3.0</x:v>
      </x:c>
      <x:c r="B109" s="6" t="s">
        <x:v>96</x:v>
      </x:c>
      <x:c r="C109" s="6">
        <x:v>5.0</x:v>
      </x:c>
      <x:c r="D109" s="6">
        <x:v>30.0</x:v>
      </x:c>
      <x:c r="E109" s="6" t="str">
        <x:f>IFERROR(IF(VLOOKUP(D109,Giocatori!$A$4:$C$48,2,FALSE)&lt;&gt;"",VLOOKUP(D109,Giocatori!$A$4:$C$48,2,FALSE),"Giocatore "&amp;D109),"Giocatore "&amp;D109)</x:f>
        <x:v>Mauro Raffaele</x:v>
      </x:c>
      <x:c r="F109" s="10"/>
      <x:c r="G109" s="10"/>
      <x:c r="H109" s="10">
        <x:v>0.0</x:v>
      </x:c>
      <x:c r="I109" s="6" t="str">
        <x:f t="shared" si="1"/>
      </x:c>
      <x:c r="J109" s="10"/>
    </x:row>
    <x:row r="110" ht="13.5" customHeight="1">
      <x:c r="A110" s="6"/>
      <x:c r="B110" s="6"/>
      <x:c r="C110" s="6"/>
      <x:c r="D110" s="6"/>
      <x:c r="E110" s="6"/>
      <x:c r="F110" s="10"/>
      <x:c r="G110" s="10"/>
      <x:c r="H110" s="10"/>
      <x:c r="I110" s="6" t="str">
        <x:f t="shared" si="1"/>
      </x:c>
      <x:c r="J110" s="10"/>
    </x:row>
    <x:row r="111" ht="13.5" customHeight="1">
      <x:c r="A111" s="6"/>
      <x:c r="B111" s="6"/>
      <x:c r="C111" s="6"/>
      <x:c r="D111" s="6"/>
      <x:c r="E111" s="6"/>
      <x:c r="F111" s="10"/>
      <x:c r="G111" s="10"/>
      <x:c r="H111" s="10"/>
      <x:c r="I111" s="6" t="str">
        <x:f t="shared" si="1"/>
      </x:c>
      <x:c r="J111" s="10"/>
    </x:row>
    <x:row r="112" ht="13.5" customHeight="1">
      <x:c r="A112" s="6"/>
      <x:c r="B112" s="6"/>
      <x:c r="C112" s="6"/>
      <x:c r="D112" s="6"/>
      <x:c r="E112" s="6"/>
      <x:c r="F112" s="10"/>
      <x:c r="G112" s="10"/>
      <x:c r="H112" s="10"/>
      <x:c r="I112" s="6" t="str">
        <x:f t="shared" si="1"/>
      </x:c>
      <x:c r="J112" s="10"/>
    </x:row>
    <x:row r="113" ht="13.5" customHeight="1">
      <x:c r="A113" s="6"/>
      <x:c r="B113" s="6"/>
      <x:c r="C113" s="6"/>
      <x:c r="D113" s="6"/>
      <x:c r="E113" s="6"/>
      <x:c r="F113" s="10"/>
      <x:c r="G113" s="10"/>
      <x:c r="H113" s="10"/>
      <x:c r="I113" s="6" t="str">
        <x:f t="shared" si="1"/>
      </x:c>
      <x:c r="J113" s="10"/>
    </x:row>
    <x:row r="114" ht="13.5" customHeight="1">
      <x:c r="A114" s="6"/>
      <x:c r="B114" s="6"/>
      <x:c r="C114" s="6"/>
      <x:c r="D114" s="6"/>
      <x:c r="E114" s="6"/>
      <x:c r="F114" s="10"/>
      <x:c r="G114" s="10"/>
      <x:c r="H114" s="10"/>
      <x:c r="I114" s="6" t="str">
        <x:f t="shared" si="1"/>
      </x:c>
      <x:c r="J114" s="10"/>
    </x:row>
    <x:row r="115" ht="13.5" customHeight="1">
      <x:c r="A115" s="6"/>
      <x:c r="B115" s="6"/>
      <x:c r="C115" s="6"/>
      <x:c r="D115" s="6"/>
      <x:c r="E115" s="6"/>
      <x:c r="F115" s="10"/>
      <x:c r="G115" s="10"/>
      <x:c r="H115" s="10"/>
      <x:c r="I115" s="6" t="str">
        <x:f t="shared" si="1"/>
      </x:c>
      <x:c r="J115" s="10"/>
    </x:row>
    <x:row r="116" ht="13.5" customHeight="1">
      <x:c r="A116" s="6"/>
      <x:c r="B116" s="6"/>
      <x:c r="C116" s="6"/>
      <x:c r="D116" s="6"/>
      <x:c r="E116" s="6"/>
      <x:c r="F116" s="10"/>
      <x:c r="G116" s="10"/>
      <x:c r="H116" s="10"/>
      <x:c r="I116" s="6" t="str">
        <x:f t="shared" si="1"/>
      </x:c>
      <x:c r="J116" s="10"/>
    </x:row>
    <x:row r="117" ht="13.5" customHeight="1">
      <x:c r="A117" s="6"/>
      <x:c r="B117" s="6"/>
      <x:c r="C117" s="6"/>
      <x:c r="D117" s="6"/>
      <x:c r="E117" s="6"/>
      <x:c r="F117" s="10"/>
      <x:c r="G117" s="10"/>
      <x:c r="H117" s="10"/>
      <x:c r="I117" s="6" t="str">
        <x:f t="shared" si="1"/>
      </x:c>
      <x:c r="J117" s="10"/>
    </x:row>
    <x:row r="118" ht="13.5" customHeight="1">
      <x:c r="A118" s="6"/>
      <x:c r="B118" s="6"/>
      <x:c r="C118" s="6"/>
      <x:c r="D118" s="6"/>
      <x:c r="E118" s="6"/>
      <x:c r="F118" s="10"/>
      <x:c r="G118" s="10"/>
      <x:c r="H118" s="10"/>
      <x:c r="I118" s="6" t="str">
        <x:f t="shared" si="1"/>
      </x:c>
      <x:c r="J118" s="10"/>
    </x:row>
    <x:row r="119" ht="13.5" customHeight="1">
      <x:c r="A119" s="6"/>
      <x:c r="B119" s="6"/>
      <x:c r="C119" s="6"/>
      <x:c r="D119" s="6"/>
      <x:c r="E119" s="6"/>
      <x:c r="F119" s="10"/>
      <x:c r="G119" s="10"/>
      <x:c r="H119" s="10"/>
      <x:c r="I119" s="6" t="str">
        <x:f t="shared" si="1"/>
      </x:c>
      <x:c r="J119" s="10"/>
    </x:row>
    <x:row r="120" ht="13.5" customHeight="1">
      <x:c r="A120" s="6"/>
      <x:c r="B120" s="6"/>
      <x:c r="C120" s="6"/>
      <x:c r="D120" s="6"/>
      <x:c r="E120" s="6"/>
      <x:c r="F120" s="10"/>
      <x:c r="G120" s="10"/>
      <x:c r="H120" s="10"/>
      <x:c r="I120" s="6" t="str">
        <x:f t="shared" si="1"/>
      </x:c>
      <x:c r="J120" s="10"/>
    </x:row>
    <x:row r="121" ht="13.5" customHeight="1">
      <x:c r="A121" s="6"/>
      <x:c r="B121" s="6"/>
      <x:c r="C121" s="6"/>
      <x:c r="D121" s="6"/>
      <x:c r="E121" s="6"/>
      <x:c r="F121" s="10"/>
      <x:c r="G121" s="10"/>
      <x:c r="H121" s="10"/>
      <x:c r="I121" s="6" t="str">
        <x:f t="shared" si="1"/>
      </x:c>
      <x:c r="J121" s="10"/>
    </x:row>
    <x:row r="122" ht="13.5" customHeight="1">
      <x:c r="A122" s="6"/>
      <x:c r="B122" s="6"/>
      <x:c r="C122" s="6"/>
      <x:c r="D122" s="6"/>
      <x:c r="E122" s="6"/>
      <x:c r="F122" s="10"/>
      <x:c r="G122" s="10"/>
      <x:c r="H122" s="10"/>
      <x:c r="I122" s="6" t="str">
        <x:f t="shared" si="1"/>
      </x:c>
      <x:c r="J122" s="10"/>
    </x:row>
    <x:row r="123" ht="13.5" customHeight="1">
      <x:c r="A123" s="6"/>
      <x:c r="B123" s="6"/>
      <x:c r="C123" s="6"/>
      <x:c r="D123" s="6"/>
      <x:c r="E123" s="6"/>
      <x:c r="F123" s="10"/>
      <x:c r="G123" s="10"/>
      <x:c r="H123" s="10"/>
      <x:c r="I123" s="6" t="str">
        <x:f t="shared" si="1"/>
      </x:c>
      <x:c r="J123" s="10"/>
    </x:row>
    <x:row r="124" ht="13.5" customHeight="1">
      <x:c r="A124" s="6"/>
      <x:c r="B124" s="6"/>
      <x:c r="C124" s="6"/>
      <x:c r="D124" s="6"/>
      <x:c r="E124" s="6"/>
      <x:c r="F124" s="10"/>
      <x:c r="G124" s="10"/>
      <x:c r="H124" s="10"/>
      <x:c r="I124" s="6" t="str">
        <x:f t="shared" si="1"/>
      </x:c>
      <x:c r="J124" s="10"/>
    </x:row>
    <x:row r="125" ht="13.5" customHeight="1">
      <x:c r="A125" s="6"/>
      <x:c r="B125" s="6"/>
      <x:c r="C125" s="6"/>
      <x:c r="D125" s="6"/>
      <x:c r="E125" s="6"/>
      <x:c r="F125" s="10"/>
      <x:c r="G125" s="10"/>
      <x:c r="H125" s="10"/>
      <x:c r="I125" s="6" t="str">
        <x:f t="shared" si="1"/>
      </x:c>
      <x:c r="J125" s="10"/>
    </x:row>
    <x:row r="126" ht="13.5" customHeight="1">
      <x:c r="A126" s="6"/>
      <x:c r="B126" s="6"/>
      <x:c r="C126" s="6"/>
      <x:c r="D126" s="6"/>
      <x:c r="E126" s="6"/>
      <x:c r="F126" s="10"/>
      <x:c r="G126" s="10"/>
      <x:c r="H126" s="10"/>
      <x:c r="I126" s="6" t="str">
        <x:f t="shared" si="1"/>
      </x:c>
      <x:c r="J126" s="10"/>
    </x:row>
    <x:row r="127" ht="13.5" customHeight="1">
      <x:c r="A127" s="6"/>
      <x:c r="B127" s="6"/>
      <x:c r="C127" s="6"/>
      <x:c r="D127" s="6"/>
      <x:c r="E127" s="6"/>
      <x:c r="F127" s="10"/>
      <x:c r="G127" s="10"/>
      <x:c r="H127" s="10"/>
      <x:c r="I127" s="6" t="str">
        <x:f t="shared" si="1"/>
      </x:c>
      <x:c r="J127" s="10"/>
    </x:row>
    <x:row r="128" ht="13.5" customHeight="1">
      <x:c r="A128" s="6"/>
      <x:c r="B128" s="6"/>
      <x:c r="C128" s="6"/>
      <x:c r="D128" s="6"/>
      <x:c r="E128" s="6"/>
      <x:c r="F128" s="10"/>
      <x:c r="G128" s="10"/>
      <x:c r="H128" s="10"/>
      <x:c r="I128" s="6" t="str">
        <x:f t="shared" si="1"/>
      </x:c>
      <x:c r="J128" s="10"/>
    </x:row>
    <x:row r="129" ht="13.5" customHeight="1">
      <x:c r="A129" s="6"/>
      <x:c r="B129" s="6"/>
      <x:c r="C129" s="6"/>
      <x:c r="D129" s="6"/>
      <x:c r="E129" s="6"/>
      <x:c r="F129" s="10"/>
      <x:c r="G129" s="10"/>
      <x:c r="H129" s="10"/>
      <x:c r="I129" s="6" t="str">
        <x:f t="shared" si="1"/>
      </x:c>
      <x:c r="J129" s="10"/>
    </x:row>
    <x:row r="130" ht="13.5" customHeight="1">
      <x:c r="A130" s="6"/>
      <x:c r="B130" s="6"/>
      <x:c r="C130" s="6"/>
      <x:c r="D130" s="6"/>
      <x:c r="E130" s="6"/>
      <x:c r="F130" s="10"/>
      <x:c r="G130" s="10"/>
      <x:c r="H130" s="10"/>
      <x:c r="I130" s="6" t="str">
        <x:f t="shared" si="1"/>
      </x:c>
      <x:c r="J130" s="10"/>
    </x:row>
    <x:row r="131" ht="13.5" customHeight="1">
      <x:c r="A131" s="6"/>
      <x:c r="B131" s="6"/>
      <x:c r="C131" s="6"/>
      <x:c r="D131" s="6"/>
      <x:c r="E131" s="6"/>
      <x:c r="F131" s="10"/>
      <x:c r="G131" s="10"/>
      <x:c r="H131" s="10"/>
      <x:c r="I131" s="6" t="str">
        <x:f t="shared" si="1"/>
      </x:c>
      <x:c r="J131" s="10"/>
    </x:row>
    <x:row r="132" ht="13.5" customHeight="1">
      <x:c r="A132" s="6"/>
      <x:c r="B132" s="6"/>
      <x:c r="C132" s="6"/>
      <x:c r="D132" s="6"/>
      <x:c r="E132" s="6"/>
      <x:c r="F132" s="10"/>
      <x:c r="G132" s="10"/>
      <x:c r="H132" s="10"/>
      <x:c r="I132" s="6" t="str">
        <x:f t="shared" si="1"/>
      </x:c>
      <x:c r="J132" s="10"/>
    </x:row>
    <x:row r="133" ht="13.5" customHeight="1">
      <x:c r="A133" s="6"/>
      <x:c r="B133" s="6"/>
      <x:c r="C133" s="6"/>
      <x:c r="D133" s="6"/>
      <x:c r="E133" s="6"/>
      <x:c r="F133" s="10"/>
      <x:c r="G133" s="10"/>
      <x:c r="H133" s="10"/>
      <x:c r="I133" s="6" t="str">
        <x:f t="shared" si="1"/>
      </x:c>
      <x:c r="J133" s="10"/>
    </x:row>
    <x:row r="134" ht="13.5" customHeight="1">
      <x:c r="A134" s="6"/>
      <x:c r="B134" s="6"/>
      <x:c r="C134" s="6"/>
      <x:c r="D134" s="6"/>
      <x:c r="E134" s="6"/>
      <x:c r="F134" s="10"/>
      <x:c r="G134" s="10"/>
      <x:c r="H134" s="10"/>
      <x:c r="I134" s="6" t="str">
        <x:f t="shared" si="1"/>
      </x:c>
      <x:c r="J134" s="10"/>
    </x:row>
    <x:row r="135" ht="13.5" customHeight="1">
      <x:c r="A135" s="6"/>
      <x:c r="B135" s="6"/>
      <x:c r="C135" s="6"/>
      <x:c r="D135" s="6"/>
      <x:c r="E135" s="6"/>
      <x:c r="F135" s="10"/>
      <x:c r="G135" s="10"/>
      <x:c r="H135" s="10"/>
      <x:c r="I135" s="6" t="str">
        <x:f t="shared" si="1"/>
      </x:c>
      <x:c r="J135" s="10"/>
    </x:row>
    <x:row r="136" ht="13.5" customHeight="1">
      <x:c r="A136" s="6"/>
      <x:c r="B136" s="6"/>
      <x:c r="C136" s="6"/>
      <x:c r="D136" s="6"/>
      <x:c r="E136" s="6"/>
      <x:c r="F136" s="10"/>
      <x:c r="G136" s="10"/>
      <x:c r="H136" s="10"/>
      <x:c r="I136" s="6" t="str">
        <x:f t="shared" si="1"/>
      </x:c>
      <x:c r="J136" s="10"/>
    </x:row>
    <x:row r="137" ht="13.5" customHeight="1">
      <x:c r="A137" s="6"/>
      <x:c r="B137" s="6"/>
      <x:c r="C137" s="6"/>
      <x:c r="D137" s="6"/>
      <x:c r="E137" s="6"/>
      <x:c r="F137" s="10"/>
      <x:c r="G137" s="10"/>
      <x:c r="H137" s="10"/>
      <x:c r="I137" s="6" t="str">
        <x:f t="shared" si="1"/>
      </x:c>
      <x:c r="J137" s="10"/>
    </x:row>
    <x:row r="138" ht="13.5" customHeight="1">
      <x:c r="A138" s="6"/>
      <x:c r="B138" s="6"/>
      <x:c r="C138" s="6"/>
      <x:c r="D138" s="6"/>
      <x:c r="E138" s="6"/>
      <x:c r="F138" s="10"/>
      <x:c r="G138" s="10"/>
      <x:c r="H138" s="10"/>
      <x:c r="I138" s="6" t="str">
        <x:f t="shared" si="1"/>
      </x:c>
      <x:c r="J138" s="10"/>
    </x:row>
    <x:row r="139" ht="13.5" customHeight="1">
      <x:c r="A139" s="6"/>
      <x:c r="B139" s="6"/>
      <x:c r="C139" s="6"/>
      <x:c r="D139" s="6"/>
      <x:c r="E139" s="6"/>
      <x:c r="F139" s="10"/>
      <x:c r="G139" s="10"/>
      <x:c r="H139" s="10"/>
      <x:c r="I139" s="6" t="str">
        <x:f t="shared" si="1"/>
      </x:c>
      <x:c r="J139" s="10"/>
    </x:row>
    <x:row r="140" ht="13.5" customHeight="1">
      <x:c r="A140" s="6"/>
      <x:c r="B140" s="6"/>
      <x:c r="C140" s="6"/>
      <x:c r="D140" s="6"/>
      <x:c r="E140" s="6"/>
      <x:c r="F140" s="10"/>
      <x:c r="G140" s="10"/>
      <x:c r="H140" s="10"/>
      <x:c r="I140" s="6" t="str">
        <x:f t="shared" si="1"/>
      </x:c>
      <x:c r="J140" s="10"/>
    </x:row>
    <x:row r="141" ht="13.5" customHeight="1">
      <x:c r="A141" s="6"/>
      <x:c r="B141" s="6"/>
      <x:c r="C141" s="6"/>
      <x:c r="D141" s="6"/>
      <x:c r="E141" s="6"/>
      <x:c r="F141" s="10"/>
      <x:c r="G141" s="10"/>
      <x:c r="H141" s="10"/>
      <x:c r="I141" s="6" t="str">
        <x:f t="shared" si="1"/>
      </x:c>
      <x:c r="J141" s="10"/>
    </x:row>
    <x:row r="142" ht="13.5" customHeight="1">
      <x:c r="A142" s="6"/>
      <x:c r="B142" s="6"/>
      <x:c r="C142" s="6"/>
      <x:c r="D142" s="6"/>
      <x:c r="E142" s="6"/>
      <x:c r="F142" s="10"/>
      <x:c r="G142" s="10"/>
      <x:c r="H142" s="10"/>
      <x:c r="I142" s="6" t="str">
        <x:f t="shared" si="1"/>
      </x:c>
      <x:c r="J142" s="10"/>
    </x:row>
    <x:row r="143" ht="13.5" customHeight="1">
      <x:c r="A143" s="6"/>
      <x:c r="B143" s="6"/>
      <x:c r="C143" s="6"/>
      <x:c r="D143" s="6"/>
      <x:c r="E143" s="6"/>
      <x:c r="F143" s="10"/>
      <x:c r="G143" s="10"/>
      <x:c r="H143" s="10"/>
      <x:c r="I143" s="6" t="str">
        <x:f t="shared" si="1"/>
      </x:c>
      <x:c r="J143" s="10"/>
    </x:row>
    <x:row r="144" ht="13.5" customHeight="1">
      <x:c r="A144" s="6"/>
      <x:c r="B144" s="6"/>
      <x:c r="C144" s="6"/>
      <x:c r="D144" s="6"/>
      <x:c r="E144" s="6"/>
      <x:c r="F144" s="10"/>
      <x:c r="G144" s="10"/>
      <x:c r="H144" s="10"/>
      <x:c r="I144" s="6" t="str">
        <x:f t="shared" si="1"/>
      </x:c>
      <x:c r="J144" s="10"/>
    </x:row>
    <x:row r="145" ht="13.5" customHeight="1">
      <x:c r="A145" s="6"/>
      <x:c r="B145" s="6"/>
      <x:c r="C145" s="6"/>
      <x:c r="D145" s="6"/>
      <x:c r="E145" s="6"/>
      <x:c r="F145" s="10"/>
      <x:c r="G145" s="10"/>
      <x:c r="H145" s="10"/>
      <x:c r="I145" s="6" t="str">
        <x:f t="shared" si="1"/>
      </x:c>
      <x:c r="J145" s="10"/>
    </x:row>
    <x:row r="146" ht="13.5" customHeight="1">
      <x:c r="A146" s="6"/>
      <x:c r="B146" s="6"/>
      <x:c r="C146" s="6"/>
      <x:c r="D146" s="6"/>
      <x:c r="E146" s="6"/>
      <x:c r="F146" s="10"/>
      <x:c r="G146" s="10"/>
      <x:c r="H146" s="10"/>
      <x:c r="I146" s="6" t="str">
        <x:f t="shared" si="1"/>
      </x:c>
      <x:c r="J146" s="10"/>
    </x:row>
    <x:row r="147" ht="13.5" customHeight="1">
      <x:c r="A147" s="6"/>
      <x:c r="B147" s="6"/>
      <x:c r="C147" s="6"/>
      <x:c r="D147" s="6"/>
      <x:c r="E147" s="6"/>
      <x:c r="F147" s="10"/>
      <x:c r="G147" s="10"/>
      <x:c r="H147" s="10"/>
      <x:c r="I147" s="6" t="str">
        <x:f t="shared" si="1"/>
      </x:c>
      <x:c r="J147" s="10"/>
    </x:row>
    <x:row r="148" ht="13.5" customHeight="1">
      <x:c r="A148" s="6"/>
      <x:c r="B148" s="6"/>
      <x:c r="C148" s="6"/>
      <x:c r="D148" s="6"/>
      <x:c r="E148" s="6"/>
      <x:c r="F148" s="10"/>
      <x:c r="G148" s="10"/>
      <x:c r="H148" s="10"/>
      <x:c r="I148" s="6" t="str">
        <x:f t="shared" si="1"/>
      </x:c>
      <x:c r="J148" s="10"/>
    </x:row>
    <x:row r="149" ht="13.5" customHeight="1">
      <x:c r="A149" s="6"/>
      <x:c r="B149" s="6"/>
      <x:c r="C149" s="6"/>
      <x:c r="D149" s="6"/>
      <x:c r="E149" s="6"/>
      <x:c r="F149" s="10"/>
      <x:c r="G149" s="10"/>
      <x:c r="H149" s="10"/>
      <x:c r="I149" s="6" t="str">
        <x:f t="shared" si="1"/>
      </x:c>
      <x:c r="J149" s="10"/>
    </x:row>
    <x:row r="150" ht="13.5" customHeight="1">
      <x:c r="A150" s="6"/>
      <x:c r="B150" s="6"/>
      <x:c r="C150" s="6"/>
      <x:c r="D150" s="6"/>
      <x:c r="E150" s="6"/>
      <x:c r="F150" s="10"/>
      <x:c r="G150" s="10"/>
      <x:c r="H150" s="10"/>
      <x:c r="I150" s="6" t="str">
        <x:f t="shared" si="1"/>
      </x:c>
      <x:c r="J150" s="10"/>
    </x:row>
    <x:row r="151" ht="13.5" customHeight="1">
      <x:c r="A151" s="6"/>
      <x:c r="B151" s="6"/>
      <x:c r="C151" s="6"/>
      <x:c r="D151" s="6"/>
      <x:c r="E151" s="6"/>
      <x:c r="F151" s="10"/>
      <x:c r="G151" s="10"/>
      <x:c r="H151" s="10"/>
      <x:c r="I151" s="6" t="str">
        <x:f t="shared" si="1"/>
      </x:c>
      <x:c r="J151" s="10"/>
    </x:row>
    <x:row r="152" ht="13.5" customHeight="1">
      <x:c r="A152" s="6"/>
      <x:c r="B152" s="6"/>
      <x:c r="C152" s="6"/>
      <x:c r="D152" s="6"/>
      <x:c r="E152" s="6"/>
      <x:c r="F152" s="10"/>
      <x:c r="G152" s="10"/>
      <x:c r="H152" s="10"/>
      <x:c r="I152" s="6" t="str">
        <x:f t="shared" si="1"/>
      </x:c>
      <x:c r="J152" s="10"/>
    </x:row>
    <x:row r="153" ht="13.5" customHeight="1">
      <x:c r="A153" s="6"/>
      <x:c r="B153" s="6"/>
      <x:c r="C153" s="6"/>
      <x:c r="D153" s="6"/>
      <x:c r="E153" s="6"/>
      <x:c r="F153" s="10"/>
      <x:c r="G153" s="10"/>
      <x:c r="H153" s="10"/>
      <x:c r="I153" s="6" t="str">
        <x:f t="shared" si="1"/>
      </x:c>
      <x:c r="J153" s="10"/>
    </x:row>
    <x:row r="154" ht="13.5" customHeight="1">
      <x:c r="A154" s="6"/>
      <x:c r="B154" s="6"/>
      <x:c r="C154" s="6"/>
      <x:c r="D154" s="6"/>
      <x:c r="E154" s="6"/>
      <x:c r="F154" s="10"/>
      <x:c r="G154" s="10"/>
      <x:c r="H154" s="10"/>
      <x:c r="I154" s="6" t="str">
        <x:f t="shared" si="1"/>
      </x:c>
      <x:c r="J154" s="10"/>
    </x:row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dataValidations count="1">
    <x:dataValidation type="list" allowBlank="1" sqref="G5:G154">
      <x:formula1>"1,2,3,4,5"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9" customWidth="1"/>
    <x:col min="2" max="2" width="10" customWidth="1"/>
    <x:col min="3" max="3" width="9" customWidth="1"/>
    <x:col min="4" max="4" width="14" customWidth="1"/>
    <x:col min="5" max="5" width="28" customWidth="1"/>
    <x:col min="6" max="6" width="16" customWidth="1"/>
    <x:col min="7" max="7" width="13" customWidth="1"/>
    <x:col min="8" max="8" width="10" customWidth="1"/>
    <x:col min="9" max="9" width="17" customWidth="1"/>
    <x:col min="10" max="10" width="30" customWidth="1"/>
  </x:cols>
  <x:sheetData>
    <x:row r="1" ht="19.5" customHeight="1">
      <x:c r="A1" s="1" t="s">
        <x:v>97</x:v>
      </x:c>
    </x:row>
    <x:row r="2" ht="13.5" customHeight="1">
      <x:c r="A2" s="3" t="s">
        <x:v>80</x:v>
      </x:c>
    </x:row>
    <x:row r="3" ht="13.5" customHeight="1"/>
    <x:row r="4" ht="13.5" customHeight="1">
      <x:c r="A4" s="4" t="s">
        <x:v>81</x:v>
      </x:c>
      <x:c r="B4" s="4" t="s">
        <x:v>82</x:v>
      </x:c>
      <x:c r="C4" s="4" t="s">
        <x:v>83</x:v>
      </x:c>
      <x:c r="D4" s="4" t="s">
        <x:v>84</x:v>
      </x:c>
      <x:c r="E4" s="4" t="s">
        <x:v>85</x:v>
      </x:c>
      <x:c r="F4" s="4" t="s">
        <x:v>86</x:v>
      </x:c>
      <x:c r="G4" s="4" t="s">
        <x:v>87</x:v>
      </x:c>
      <x:c r="H4" s="4" t="s">
        <x:v>88</x:v>
      </x:c>
      <x:c r="I4" s="4" t="s">
        <x:v>89</x:v>
      </x:c>
      <x:c r="J4" s="4" t="s">
        <x:v>38</x:v>
      </x:c>
    </x:row>
    <x:row r="5" ht="13.5" customHeight="1">
      <x:c r="A5" s="6">
        <x:v>1.0</x:v>
      </x:c>
      <x:c r="B5" s="6" t="s">
        <x:v>90</x:v>
      </x:c>
      <x:c r="C5" s="6">
        <x:v>1.0</x:v>
      </x:c>
      <x:c r="D5" s="6">
        <x:v>1.0</x:v>
      </x:c>
      <x:c r="E5" s="6" t="str">
        <x:f>IFERROR(IF(VLOOKUP(D5,Giocatori!$A$4:$C$48,2,FALSE)&lt;&gt;"",VLOOKUP(D5,Giocatori!$A$4:$C$48,2,FALSE),"Giocatore "&amp;D5),"Giocatore "&amp;D5)</x:f>
        <x:v>Zio Raffaele</x:v>
      </x:c>
      <x:c r="F5" s="14">
        <x:v>63.0</x:v>
      </x:c>
      <x:c r="G5" s="14">
        <x:v>4.0</x:v>
      </x:c>
      <x:c r="H5" s="10">
        <x:v>0.0</x:v>
      </x:c>
      <x:c r="I5" s="6" t="n">
        <x:f t="shared" ref="I5:I33" si="1">IF(OR(G5="",G5&lt;1,G5&gt;5),"",CHOOSE(G5,9,6,4,2,1)+2*IF(H5="",0,H5))</x:f>
        <x:v>2</x:v>
      </x:c>
      <x:c r="J5" s="10"/>
    </x:row>
    <x:row r="6" ht="13.5" customHeight="1">
      <x:c r="A6" s="6">
        <x:v>1.0</x:v>
      </x:c>
      <x:c r="B6" s="6" t="s">
        <x:v>90</x:v>
      </x:c>
      <x:c r="C6" s="6">
        <x:v>2.0</x:v>
      </x:c>
      <x:c r="D6" s="6">
        <x:v>2.0</x:v>
      </x:c>
      <x:c r="E6" s="6" t="str">
        <x:f>IFERROR(IF(VLOOKUP(D6,Giocatori!$A$4:$C$48,2,FALSE)&lt;&gt;"",VLOOKUP(D6,Giocatori!$A$4:$C$48,2,FALSE),"Giocatore "&amp;D6),"Giocatore "&amp;D6)</x:f>
        <x:v>Nicola Mauro</x:v>
      </x:c>
      <x:c r="F6" s="14">
        <x:v>42.0</x:v>
      </x:c>
      <x:c r="G6" s="14">
        <x:v>1.0</x:v>
      </x:c>
      <x:c r="H6" s="10">
        <x:v>0.0</x:v>
      </x:c>
      <x:c r="I6" s="6">
        <x:f t="shared" si="1"/>
        <x:v>9</x:v>
      </x:c>
      <x:c r="J6" s="10"/>
    </x:row>
    <x:row r="7" ht="13.5" customHeight="1">
      <x:c r="A7" s="6">
        <x:v>1.0</x:v>
      </x:c>
      <x:c r="B7" s="6" t="s">
        <x:v>90</x:v>
      </x:c>
      <x:c r="C7" s="6">
        <x:v>3.0</x:v>
      </x:c>
      <x:c r="D7" s="6">
        <x:v>3.0</x:v>
      </x:c>
      <x:c r="E7" s="6" t="str">
        <x:f>IFERROR(IF(VLOOKUP(D7,Giocatori!$A$4:$C$48,2,FALSE)&lt;&gt;"",VLOOKUP(D7,Giocatori!$A$4:$C$48,2,FALSE),"Giocatore "&amp;D7),"Giocatore "&amp;D7)</x:f>
        <x:v>Beracci Lucio</x:v>
      </x:c>
      <x:c r="F7" s="14">
        <x:v>81.0</x:v>
      </x:c>
      <x:c r="G7" s="14">
        <x:v>5.0</x:v>
      </x:c>
      <x:c r="H7" s="10">
        <x:v>0.0</x:v>
      </x:c>
      <x:c r="I7" s="6">
        <x:f t="shared" si="1"/>
        <x:v>1</x:v>
      </x:c>
      <x:c r="J7" s="10"/>
    </x:row>
    <x:row r="8" ht="13.5" customHeight="1">
      <x:c r="A8" s="6">
        <x:v>1.0</x:v>
      </x:c>
      <x:c r="B8" s="6" t="s">
        <x:v>90</x:v>
      </x:c>
      <x:c r="C8" s="6">
        <x:v>4.0</x:v>
      </x:c>
      <x:c r="D8" s="6">
        <x:v>4.0</x:v>
      </x:c>
      <x:c r="E8" s="6" t="str">
        <x:f>IFERROR(IF(VLOOKUP(D8,Giocatori!$A$4:$C$48,2,FALSE)&lt;&gt;"",VLOOKUP(D8,Giocatori!$A$4:$C$48,2,FALSE),"Giocatore "&amp;D8),"Giocatore "&amp;D8)</x:f>
        <x:v>Annunziata Michele</x:v>
      </x:c>
      <x:c r="F8" s="14">
        <x:v>50.0</x:v>
      </x:c>
      <x:c r="G8" s="14">
        <x:v>2.0</x:v>
      </x:c>
      <x:c r="H8" s="10">
        <x:v>0.0</x:v>
      </x:c>
      <x:c r="I8" s="6">
        <x:f t="shared" si="1"/>
        <x:v>6</x:v>
      </x:c>
      <x:c r="J8" s="10"/>
    </x:row>
    <x:row r="9" ht="13.5" customHeight="1">
      <x:c r="A9" s="6">
        <x:v>1.0</x:v>
      </x:c>
      <x:c r="B9" s="6" t="s">
        <x:v>90</x:v>
      </x:c>
      <x:c r="C9" s="6">
        <x:v>5.0</x:v>
      </x:c>
      <x:c r="D9" s="6">
        <x:v>5.0</x:v>
      </x:c>
      <x:c r="E9" s="6" t="str">
        <x:f>IFERROR(IF(VLOOKUP(D9,Giocatori!$A$4:$C$48,2,FALSE)&lt;&gt;"",VLOOKUP(D9,Giocatori!$A$4:$C$48,2,FALSE),"Giocatore "&amp;D9),"Giocatore "&amp;D9)</x:f>
        <x:v>La Marca Carlo</x:v>
      </x:c>
      <x:c r="F9" s="14">
        <x:v>51.0</x:v>
      </x:c>
      <x:c r="G9" s="14">
        <x:v>3.0</x:v>
      </x:c>
      <x:c r="H9" s="10">
        <x:v>0.0</x:v>
      </x:c>
      <x:c r="I9" s="6">
        <x:f t="shared" si="1"/>
        <x:v>4</x:v>
      </x:c>
      <x:c r="J9" s="10"/>
    </x:row>
    <x:row r="10" ht="13.5" customHeight="1">
      <x:c r="A10" s="6">
        <x:v>1.0</x:v>
      </x:c>
      <x:c r="B10" s="6" t="s">
        <x:v>91</x:v>
      </x:c>
      <x:c r="C10" s="6">
        <x:v>1.0</x:v>
      </x:c>
      <x:c r="D10" s="6">
        <x:v>6.0</x:v>
      </x:c>
      <x:c r="E10" s="6" t="str">
        <x:f>IFERROR(IF(VLOOKUP(D10,Giocatori!$A$4:$C$48,2,FALSE)&lt;&gt;"",VLOOKUP(D10,Giocatori!$A$4:$C$48,2,FALSE),"Giocatore "&amp;D10),"Giocatore "&amp;D10)</x:f>
        <x:v>Sommese Antonio</x:v>
      </x:c>
      <x:c r="F10" s="14">
        <x:v>58.0</x:v>
      </x:c>
      <x:c r="G10" s="14">
        <x:v>2.0</x:v>
      </x:c>
      <x:c r="H10" s="10">
        <x:v>0.0</x:v>
      </x:c>
      <x:c r="I10" s="6">
        <x:f t="shared" si="1"/>
        <x:v>6</x:v>
      </x:c>
      <x:c r="J10" s="10"/>
    </x:row>
    <x:row r="11" ht="13.5" customHeight="1">
      <x:c r="A11" s="6">
        <x:v>1.0</x:v>
      </x:c>
      <x:c r="B11" s="6" t="s">
        <x:v>91</x:v>
      </x:c>
      <x:c r="C11" s="6">
        <x:v>2.0</x:v>
      </x:c>
      <x:c r="D11" s="6">
        <x:v>7.0</x:v>
      </x:c>
      <x:c r="E11" s="6" t="str">
        <x:f>IFERROR(IF(VLOOKUP(D11,Giocatori!$A$4:$C$48,2,FALSE)&lt;&gt;"",VLOOKUP(D11,Giocatori!$A$4:$C$48,2,FALSE),"Giocatore "&amp;D11),"Giocatore "&amp;D11)</x:f>
        <x:v>Notaro massimo</x:v>
      </x:c>
      <x:c r="F11" s="14">
        <x:v>62.0</x:v>
      </x:c>
      <x:c r="G11" s="14">
        <x:v>4.0</x:v>
      </x:c>
      <x:c r="H11" s="10">
        <x:v>0.0</x:v>
      </x:c>
      <x:c r="I11" s="6">
        <x:f t="shared" si="1"/>
        <x:v>2</x:v>
      </x:c>
      <x:c r="J11" s="10"/>
    </x:row>
    <x:row r="12" ht="13.5" customHeight="1">
      <x:c r="A12" s="6">
        <x:v>1.0</x:v>
      </x:c>
      <x:c r="B12" s="6" t="s">
        <x:v>91</x:v>
      </x:c>
      <x:c r="C12" s="6">
        <x:v>3.0</x:v>
      </x:c>
      <x:c r="D12" s="6">
        <x:v>8.0</x:v>
      </x:c>
      <x:c r="E12" s="6" t="str">
        <x:f>IFERROR(IF(VLOOKUP(D12,Giocatori!$A$4:$C$48,2,FALSE)&lt;&gt;"",VLOOKUP(D12,Giocatori!$A$4:$C$48,2,FALSE),"Giocatore "&amp;D12),"Giocatore "&amp;D12)</x:f>
        <x:v>Beracci Benedetto</x:v>
      </x:c>
      <x:c r="F12" s="14">
        <x:v>87.0</x:v>
      </x:c>
      <x:c r="G12" s="14">
        <x:v>5.0</x:v>
      </x:c>
      <x:c r="H12" s="10">
        <x:v>0.0</x:v>
      </x:c>
      <x:c r="I12" s="6">
        <x:f t="shared" si="1"/>
        <x:v>1</x:v>
      </x:c>
      <x:c r="J12" s="10"/>
    </x:row>
    <x:row r="13" ht="13.5" customHeight="1">
      <x:c r="A13" s="6">
        <x:v>1.0</x:v>
      </x:c>
      <x:c r="B13" s="6" t="s">
        <x:v>91</x:v>
      </x:c>
      <x:c r="C13" s="6">
        <x:v>4.0</x:v>
      </x:c>
      <x:c r="D13" s="6">
        <x:v>9.0</x:v>
      </x:c>
      <x:c r="E13" s="6" t="str">
        <x:f>IFERROR(IF(VLOOKUP(D13,Giocatori!$A$4:$C$48,2,FALSE)&lt;&gt;"",VLOOKUP(D13,Giocatori!$A$4:$C$48,2,FALSE),"Giocatore "&amp;D13),"Giocatore "&amp;D13)</x:f>
        <x:v>Atria Gregorio</x:v>
      </x:c>
      <x:c r="F13" s="14">
        <x:v>50.0</x:v>
      </x:c>
      <x:c r="G13" s="14">
        <x:v>1.0</x:v>
      </x:c>
      <x:c r="H13" s="10">
        <x:v>0.0</x:v>
      </x:c>
      <x:c r="I13" s="6">
        <x:f t="shared" si="1"/>
        <x:v>9</x:v>
      </x:c>
      <x:c r="J13" s="10"/>
    </x:row>
    <x:row r="14" ht="13.5" customHeight="1">
      <x:c r="A14" s="6">
        <x:v>1.0</x:v>
      </x:c>
      <x:c r="B14" s="6" t="s">
        <x:v>91</x:v>
      </x:c>
      <x:c r="C14" s="6">
        <x:v>5.0</x:v>
      </x:c>
      <x:c r="D14" s="6">
        <x:v>10.0</x:v>
      </x:c>
      <x:c r="E14" s="6" t="str">
        <x:f>IFERROR(IF(VLOOKUP(D14,Giocatori!$A$4:$C$48,2,FALSE)&lt;&gt;"",VLOOKUP(D14,Giocatori!$A$4:$C$48,2,FALSE),"Giocatore "&amp;D14),"Giocatore "&amp;D14)</x:f>
        <x:v>Caliendo Nunzio</x:v>
      </x:c>
      <x:c r="F14" s="14">
        <x:v>58.0</x:v>
      </x:c>
      <x:c r="G14" s="14">
        <x:v>3.0</x:v>
      </x:c>
      <x:c r="H14" s="14">
        <x:v>1.0</x:v>
      </x:c>
      <x:c r="I14" s="6">
        <x:f t="shared" si="1"/>
        <x:v>6</x:v>
      </x:c>
      <x:c r="J14" s="10"/>
      <x:c r="K14" s="20" t="s">
        <x:v>98</x:v>
      </x:c>
    </x:row>
    <x:row r="15" ht="13.5" customHeight="1">
      <x:c r="A15" s="6">
        <x:v>1.0</x:v>
      </x:c>
      <x:c r="B15" s="6" t="s">
        <x:v>92</x:v>
      </x:c>
      <x:c r="C15" s="6">
        <x:v>1.0</x:v>
      </x:c>
      <x:c r="D15" s="6">
        <x:v>11.0</x:v>
      </x:c>
      <x:c r="E15" s="6" t="str">
        <x:f>IFERROR(IF(VLOOKUP(D15,Giocatori!$A$4:$C$48,2,FALSE)&lt;&gt;"",VLOOKUP(D15,Giocatori!$A$4:$C$48,2,FALSE),"Giocatore "&amp;D15),"Giocatore "&amp;D15)</x:f>
        <x:v>Moccia Biagio</x:v>
      </x:c>
      <x:c r="F15" s="14">
        <x:v>75.0</x:v>
      </x:c>
      <x:c r="G15" s="14">
        <x:v>4.0</x:v>
      </x:c>
      <x:c r="H15" s="10">
        <x:v>0.0</x:v>
      </x:c>
      <x:c r="I15" s="6">
        <x:f t="shared" si="1"/>
        <x:v>2</x:v>
      </x:c>
      <x:c r="J15" s="10"/>
    </x:row>
    <x:row r="16" ht="13.5" customHeight="1">
      <x:c r="A16" s="6">
        <x:v>1.0</x:v>
      </x:c>
      <x:c r="B16" s="6" t="s">
        <x:v>92</x:v>
      </x:c>
      <x:c r="C16" s="6">
        <x:v>2.0</x:v>
      </x:c>
      <x:c r="D16" s="6">
        <x:v>12.0</x:v>
      </x:c>
      <x:c r="E16" s="6" t="str">
        <x:f>IFERROR(IF(VLOOKUP(D16,Giocatori!$A$4:$C$48,2,FALSE)&lt;&gt;"",VLOOKUP(D16,Giocatori!$A$4:$C$48,2,FALSE),"Giocatore "&amp;D16),"Giocatore "&amp;D16)</x:f>
        <x:v>De Falco Andrea</x:v>
      </x:c>
      <x:c r="F16" s="14">
        <x:v>88.0</x:v>
      </x:c>
      <x:c r="G16" s="14">
        <x:v>5.0</x:v>
      </x:c>
      <x:c r="H16" s="10">
        <x:v>0.0</x:v>
      </x:c>
      <x:c r="I16" s="6">
        <x:f t="shared" si="1"/>
        <x:v>1</x:v>
      </x:c>
      <x:c r="J16" s="10"/>
    </x:row>
    <x:row r="17" ht="13.5" customHeight="1">
      <x:c r="A17" s="6">
        <x:v>1.0</x:v>
      </x:c>
      <x:c r="B17" s="6" t="s">
        <x:v>92</x:v>
      </x:c>
      <x:c r="C17" s="6">
        <x:v>3.0</x:v>
      </x:c>
      <x:c r="D17" s="6">
        <x:v>13.0</x:v>
      </x:c>
      <x:c r="E17" s="6" t="str">
        <x:f>IFERROR(IF(VLOOKUP(D17,Giocatori!$A$4:$C$48,2,FALSE)&lt;&gt;"",VLOOKUP(D17,Giocatori!$A$4:$C$48,2,FALSE),"Giocatore "&amp;D17),"Giocatore "&amp;D17)</x:f>
        <x:v>Corbo Alessandro</x:v>
      </x:c>
      <x:c r="F17" s="14">
        <x:v>19.0</x:v>
      </x:c>
      <x:c r="G17" s="14">
        <x:v>1.0</x:v>
      </x:c>
      <x:c r="H17" s="10">
        <x:v>0.0</x:v>
      </x:c>
      <x:c r="I17" s="6">
        <x:f t="shared" si="1"/>
        <x:v>9</x:v>
      </x:c>
      <x:c r="J17" s="10"/>
    </x:row>
    <x:row r="18" ht="13.5" customHeight="1">
      <x:c r="A18" s="6">
        <x:v>1.0</x:v>
      </x:c>
      <x:c r="B18" s="6" t="s">
        <x:v>92</x:v>
      </x:c>
      <x:c r="C18" s="6">
        <x:v>4.0</x:v>
      </x:c>
      <x:c r="D18" s="6">
        <x:v>14.0</x:v>
      </x:c>
      <x:c r="E18" s="6" t="str">
        <x:f>IFERROR(IF(VLOOKUP(D18,Giocatori!$A$4:$C$48,2,FALSE)&lt;&gt;"",VLOOKUP(D18,Giocatori!$A$4:$C$48,2,FALSE),"Giocatore "&amp;D18),"Giocatore "&amp;D18)</x:f>
        <x:v>Botta Francesco</x:v>
      </x:c>
      <x:c r="F18" s="14">
        <x:v>49.0</x:v>
      </x:c>
      <x:c r="G18" s="14">
        <x:v>3.0</x:v>
      </x:c>
      <x:c r="H18" s="10">
        <x:v>0.0</x:v>
      </x:c>
      <x:c r="I18" s="6">
        <x:f t="shared" si="1"/>
        <x:v>4</x:v>
      </x:c>
      <x:c r="J18" s="10"/>
    </x:row>
    <x:row r="19" ht="13.5" customHeight="1">
      <x:c r="A19" s="6">
        <x:v>1.0</x:v>
      </x:c>
      <x:c r="B19" s="6" t="s">
        <x:v>92</x:v>
      </x:c>
      <x:c r="C19" s="6">
        <x:v>5.0</x:v>
      </x:c>
      <x:c r="D19" s="6">
        <x:v>15.0</x:v>
      </x:c>
      <x:c r="E19" s="6" t="str">
        <x:f>IFERROR(IF(VLOOKUP(D19,Giocatori!$A$4:$C$48,2,FALSE)&lt;&gt;"",VLOOKUP(D19,Giocatori!$A$4:$C$48,2,FALSE),"Giocatore "&amp;D19),"Giocatore "&amp;D19)</x:f>
        <x:v>Tufano Antonio</x:v>
      </x:c>
      <x:c r="F19" s="14">
        <x:v>42.0</x:v>
      </x:c>
      <x:c r="G19" s="14">
        <x:v>2.0</x:v>
      </x:c>
      <x:c r="H19" s="10">
        <x:v>0.0</x:v>
      </x:c>
      <x:c r="I19" s="6">
        <x:f t="shared" si="1"/>
        <x:v>6</x:v>
      </x:c>
      <x:c r="J19" s="10"/>
    </x:row>
    <x:row r="20" ht="13.5" customHeight="1">
      <x:c r="A20" s="6">
        <x:v>1.0</x:v>
      </x:c>
      <x:c r="B20" s="6" t="s">
        <x:v>93</x:v>
      </x:c>
      <x:c r="C20" s="6">
        <x:v>1.0</x:v>
      </x:c>
      <x:c r="D20" s="6">
        <x:v>16.0</x:v>
      </x:c>
      <x:c r="E20" s="6" t="str">
        <x:f>IFERROR(IF(VLOOKUP(D20,Giocatori!$A$4:$C$48,2,FALSE)&lt;&gt;"",VLOOKUP(D20,Giocatori!$A$4:$C$48,2,FALSE),"Giocatore "&amp;D20),"Giocatore "&amp;D20)</x:f>
        <x:v>Iorio Raffaele</x:v>
      </x:c>
      <x:c r="F20" s="14">
        <x:v>65.0</x:v>
      </x:c>
      <x:c r="G20" s="14">
        <x:v>2.0</x:v>
      </x:c>
      <x:c r="H20" s="10">
        <x:v>0.0</x:v>
      </x:c>
      <x:c r="I20" s="6">
        <x:f t="shared" si="1"/>
        <x:v>6</x:v>
      </x:c>
      <x:c r="J20" s="10"/>
    </x:row>
    <x:row r="21" ht="13.5" customHeight="1">
      <x:c r="A21" s="6">
        <x:v>1.0</x:v>
      </x:c>
      <x:c r="B21" s="6" t="s">
        <x:v>93</x:v>
      </x:c>
      <x:c r="C21" s="6">
        <x:v>2.0</x:v>
      </x:c>
      <x:c r="D21" s="6">
        <x:v>17.0</x:v>
      </x:c>
      <x:c r="E21" s="6" t="str">
        <x:f>IFERROR(IF(VLOOKUP(D21,Giocatori!$A$4:$C$48,2,FALSE)&lt;&gt;"",VLOOKUP(D21,Giocatori!$A$4:$C$48,2,FALSE),"Giocatore "&amp;D21),"Giocatore "&amp;D21)</x:f>
        <x:v>Scogliamiglio Alfredo</x:v>
      </x:c>
      <x:c r="F21" s="14">
        <x:v>69.0</x:v>
      </x:c>
      <x:c r="G21" s="14">
        <x:v>3.0</x:v>
      </x:c>
      <x:c r="H21" s="10">
        <x:v>0.0</x:v>
      </x:c>
      <x:c r="I21" s="6">
        <x:f t="shared" si="1"/>
        <x:v>4</x:v>
      </x:c>
      <x:c r="J21" s="10"/>
    </x:row>
    <x:row r="22" ht="13.5" customHeight="1">
      <x:c r="A22" s="6">
        <x:v>1.0</x:v>
      </x:c>
      <x:c r="B22" s="6" t="s">
        <x:v>93</x:v>
      </x:c>
      <x:c r="C22" s="6">
        <x:v>3.0</x:v>
      </x:c>
      <x:c r="D22" s="6">
        <x:v>18.0</x:v>
      </x:c>
      <x:c r="E22" s="6" t="str">
        <x:f>IFERROR(IF(VLOOKUP(D22,Giocatori!$A$4:$C$48,2,FALSE)&lt;&gt;"",VLOOKUP(D22,Giocatori!$A$4:$C$48,2,FALSE),"Giocatore "&amp;D22),"Giocatore "&amp;D22)</x:f>
        <x:v>Cafarelli Manolo</x:v>
      </x:c>
      <x:c r="F22" s="14">
        <x:v>89.0</x:v>
      </x:c>
      <x:c r="G22" s="14">
        <x:v>5.0</x:v>
      </x:c>
      <x:c r="H22" s="10">
        <x:v>0.0</x:v>
      </x:c>
      <x:c r="I22" s="6">
        <x:f t="shared" si="1"/>
        <x:v>1</x:v>
      </x:c>
      <x:c r="J22" s="10"/>
    </x:row>
    <x:row r="23" ht="13.5" customHeight="1">
      <x:c r="A23" s="6">
        <x:v>1.0</x:v>
      </x:c>
      <x:c r="B23" s="6" t="s">
        <x:v>93</x:v>
      </x:c>
      <x:c r="C23" s="6">
        <x:v>4.0</x:v>
      </x:c>
      <x:c r="D23" s="6">
        <x:v>19.0</x:v>
      </x:c>
      <x:c r="E23" s="6" t="str">
        <x:f>IFERROR(IF(VLOOKUP(D23,Giocatori!$A$4:$C$48,2,FALSE)&lt;&gt;"",VLOOKUP(D23,Giocatori!$A$4:$C$48,2,FALSE),"Giocatore "&amp;D23),"Giocatore "&amp;D23)</x:f>
        <x:v>Fuschillo Franco</x:v>
      </x:c>
      <x:c r="F23" s="14">
        <x:v>18.0</x:v>
      </x:c>
      <x:c r="G23" s="14">
        <x:v>1.0</x:v>
      </x:c>
      <x:c r="H23" s="14">
        <x:v>1.0</x:v>
      </x:c>
      <x:c r="I23" s="6">
        <x:f t="shared" si="1"/>
        <x:v>11</x:v>
      </x:c>
      <x:c r="J23" s="10"/>
    </x:row>
    <x:row r="24" ht="13.5" customHeight="1">
      <x:c r="A24" s="6">
        <x:v>1.0</x:v>
      </x:c>
      <x:c r="B24" s="6" t="s">
        <x:v>93</x:v>
      </x:c>
      <x:c r="C24" s="6">
        <x:v>5.0</x:v>
      </x:c>
      <x:c r="D24" s="6">
        <x:v>20.0</x:v>
      </x:c>
      <x:c r="E24" s="6" t="str">
        <x:f>IFERROR(IF(VLOOKUP(D24,Giocatori!$A$4:$C$48,2,FALSE)&lt;&gt;"",VLOOKUP(D24,Giocatori!$A$4:$C$48,2,FALSE),"Giocatore "&amp;D24),"Giocatore "&amp;D24)</x:f>
        <x:v>Di Grazia Salvatore</x:v>
      </x:c>
      <x:c r="F24" s="14">
        <x:v>73.0</x:v>
      </x:c>
      <x:c r="G24" s="14">
        <x:v>4.0</x:v>
      </x:c>
      <x:c r="H24" s="10">
        <x:v>0.0</x:v>
      </x:c>
      <x:c r="I24" s="6">
        <x:f t="shared" si="1"/>
        <x:v>2</x:v>
      </x:c>
      <x:c r="J24" s="10"/>
    </x:row>
    <x:row r="25" ht="13.5" customHeight="1">
      <x:c r="A25" s="6">
        <x:v>1.0</x:v>
      </x:c>
      <x:c r="B25" s="6" t="s">
        <x:v>94</x:v>
      </x:c>
      <x:c r="C25" s="6">
        <x:v>1.0</x:v>
      </x:c>
      <x:c r="D25" s="6">
        <x:v>21.0</x:v>
      </x:c>
      <x:c r="E25" s="6" t="str">
        <x:f>IFERROR(IF(VLOOKUP(D25,Giocatori!$A$4:$C$48,2,FALSE)&lt;&gt;"",VLOOKUP(D25,Giocatori!$A$4:$C$48,2,FALSE),"Giocatore "&amp;D25),"Giocatore "&amp;D25)</x:f>
        <x:v>Mauro Candice</x:v>
      </x:c>
      <x:c r="F25" s="14">
        <x:v>75.0</x:v>
      </x:c>
      <x:c r="G25" s="14">
        <x:v>4.0</x:v>
      </x:c>
      <x:c r="H25" s="10">
        <x:v>0.0</x:v>
      </x:c>
      <x:c r="I25" s="6">
        <x:f t="shared" si="1"/>
        <x:v>2</x:v>
      </x:c>
      <x:c r="J25" s="10"/>
    </x:row>
    <x:row r="26" ht="13.5" customHeight="1">
      <x:c r="A26" s="6">
        <x:v>1.0</x:v>
      </x:c>
      <x:c r="B26" s="6" t="s">
        <x:v>94</x:v>
      </x:c>
      <x:c r="C26" s="6">
        <x:v>2.0</x:v>
      </x:c>
      <x:c r="D26" s="6">
        <x:v>22.0</x:v>
      </x:c>
      <x:c r="E26" s="6" t="str">
        <x:f>IFERROR(IF(VLOOKUP(D26,Giocatori!$A$4:$C$48,2,FALSE)&lt;&gt;"",VLOOKUP(D26,Giocatori!$A$4:$C$48,2,FALSE),"Giocatore "&amp;D26),"Giocatore "&amp;D26)</x:f>
        <x:v>Michele Zappone</x:v>
      </x:c>
      <x:c r="F26" s="14">
        <x:v>81.0</x:v>
      </x:c>
      <x:c r="G26" s="14">
        <x:v>5.0</x:v>
      </x:c>
      <x:c r="H26" s="10">
        <x:v>0.0</x:v>
      </x:c>
      <x:c r="I26" s="6">
        <x:f t="shared" si="1"/>
        <x:v>1</x:v>
      </x:c>
      <x:c r="J26" s="10"/>
    </x:row>
    <x:row r="27" ht="13.5" customHeight="1">
      <x:c r="A27" s="6">
        <x:v>1.0</x:v>
      </x:c>
      <x:c r="B27" s="6" t="s">
        <x:v>94</x:v>
      </x:c>
      <x:c r="C27" s="6">
        <x:v>3.0</x:v>
      </x:c>
      <x:c r="D27" s="6">
        <x:v>23.0</x:v>
      </x:c>
      <x:c r="E27" s="6" t="str">
        <x:f>IFERROR(IF(VLOOKUP(D27,Giocatori!$A$4:$C$48,2,FALSE)&lt;&gt;"",VLOOKUP(D27,Giocatori!$A$4:$C$48,2,FALSE),"Giocatore "&amp;D27),"Giocatore "&amp;D27)</x:f>
        <x:v>Amato Alessandro</x:v>
      </x:c>
      <x:c r="F27" s="14">
        <x:v>65.0</x:v>
      </x:c>
      <x:c r="G27" s="14">
        <x:v>3.0</x:v>
      </x:c>
      <x:c r="H27" s="10">
        <x:v>0.0</x:v>
      </x:c>
      <x:c r="I27" s="6">
        <x:f t="shared" si="1"/>
        <x:v>4</x:v>
      </x:c>
      <x:c r="J27" s="10"/>
    </x:row>
    <x:row r="28" ht="13.5" customHeight="1">
      <x:c r="A28" s="6">
        <x:v>1.0</x:v>
      </x:c>
      <x:c r="B28" s="6" t="s">
        <x:v>94</x:v>
      </x:c>
      <x:c r="C28" s="6">
        <x:v>4.0</x:v>
      </x:c>
      <x:c r="D28" s="6">
        <x:v>24.0</x:v>
      </x:c>
      <x:c r="E28" s="6" t="str">
        <x:f>IFERROR(IF(VLOOKUP(D28,Giocatori!$A$4:$C$48,2,FALSE)&lt;&gt;"",VLOOKUP(D28,Giocatori!$A$4:$C$48,2,FALSE),"Giocatore "&amp;D28),"Giocatore "&amp;D28)</x:f>
        <x:v>Napolitano Pasquale</x:v>
      </x:c>
      <x:c r="F28" s="14">
        <x:v>46.0</x:v>
      </x:c>
      <x:c r="G28" s="14">
        <x:v>1.0</x:v>
      </x:c>
      <x:c r="H28" s="10">
        <x:v>0.0</x:v>
      </x:c>
      <x:c r="I28" s="6">
        <x:f t="shared" si="1"/>
        <x:v>9</x:v>
      </x:c>
      <x:c r="J28" s="10"/>
    </x:row>
    <x:row r="29" ht="13.5" customHeight="1">
      <x:c r="A29" s="6">
        <x:v>1.0</x:v>
      </x:c>
      <x:c r="B29" s="6" t="s">
        <x:v>94</x:v>
      </x:c>
      <x:c r="C29" s="6">
        <x:v>5.0</x:v>
      </x:c>
      <x:c r="D29" s="6">
        <x:v>25.0</x:v>
      </x:c>
      <x:c r="E29" s="6" t="str">
        <x:f>IFERROR(IF(VLOOKUP(D29,Giocatori!$A$4:$C$48,2,FALSE)&lt;&gt;"",VLOOKUP(D29,Giocatori!$A$4:$C$48,2,FALSE),"Giocatore "&amp;D29),"Giocatore "&amp;D29)</x:f>
        <x:v>Fontanella Giuseppe</x:v>
      </x:c>
      <x:c r="F29" s="14">
        <x:v>49.0</x:v>
      </x:c>
      <x:c r="G29" s="14">
        <x:v>2.0</x:v>
      </x:c>
      <x:c r="H29" s="10">
        <x:v>0.0</x:v>
      </x:c>
      <x:c r="I29" s="6">
        <x:f t="shared" si="1"/>
        <x:v>6</x:v>
      </x:c>
      <x:c r="J29" s="10"/>
    </x:row>
    <x:row r="30" ht="13.5" customHeight="1">
      <x:c r="A30" s="6">
        <x:v>1.0</x:v>
      </x:c>
      <x:c r="B30" s="6" t="s">
        <x:v>95</x:v>
      </x:c>
      <x:c r="C30" s="6">
        <x:v>1.0</x:v>
      </x:c>
      <x:c r="D30" s="6">
        <x:v>26.0</x:v>
      </x:c>
      <x:c r="E30" s="6" t="str">
        <x:f>IFERROR(IF(VLOOKUP(D30,Giocatori!$A$4:$C$48,2,FALSE)&lt;&gt;"",VLOOKUP(D30,Giocatori!$A$4:$C$48,2,FALSE),"Giocatore "&amp;D30),"Giocatore "&amp;D30)</x:f>
        <x:v>La Marca Franco</x:v>
      </x:c>
      <x:c r="F30" s="14">
        <x:v>29.0</x:v>
      </x:c>
      <x:c r="G30" s="14">
        <x:v>1.0</x:v>
      </x:c>
      <x:c r="H30" s="10">
        <x:v>0.0</x:v>
      </x:c>
      <x:c r="I30" s="6">
        <x:f t="shared" si="1"/>
        <x:v>9</x:v>
      </x:c>
      <x:c r="J30" s="10"/>
    </x:row>
    <x:row r="31" ht="13.5" customHeight="1">
      <x:c r="A31" s="6">
        <x:v>1.0</x:v>
      </x:c>
      <x:c r="B31" s="6" t="s">
        <x:v>95</x:v>
      </x:c>
      <x:c r="C31" s="6">
        <x:v>2.0</x:v>
      </x:c>
      <x:c r="D31" s="6">
        <x:v>27.0</x:v>
      </x:c>
      <x:c r="E31" s="6" t="str">
        <x:f>IFERROR(IF(VLOOKUP(D31,Giocatori!$A$4:$C$48,2,FALSE)&lt;&gt;"",VLOOKUP(D31,Giocatori!$A$4:$C$48,2,FALSE),"Giocatore "&amp;D31),"Giocatore "&amp;D31)</x:f>
        <x:v>Tufano Michele</x:v>
      </x:c>
      <x:c r="F31" s="14">
        <x:v>76.0</x:v>
      </x:c>
      <x:c r="G31" s="14">
        <x:v>4.0</x:v>
      </x:c>
      <x:c r="H31" s="10">
        <x:v>0.0</x:v>
      </x:c>
      <x:c r="I31" s="6">
        <x:f t="shared" si="1"/>
        <x:v>2</x:v>
      </x:c>
      <x:c r="J31" s="10"/>
    </x:row>
    <x:row r="32" ht="13.5" customHeight="1">
      <x:c r="A32" s="6">
        <x:v>1.0</x:v>
      </x:c>
      <x:c r="B32" s="6" t="s">
        <x:v>95</x:v>
      </x:c>
      <x:c r="C32" s="6">
        <x:v>3.0</x:v>
      </x:c>
      <x:c r="D32" s="6">
        <x:v>28.0</x:v>
      </x:c>
      <x:c r="E32" s="6" t="str">
        <x:f>IFERROR(IF(VLOOKUP(D32,Giocatori!$A$4:$C$48,2,FALSE)&lt;&gt;"",VLOOKUP(D32,Giocatori!$A$4:$C$48,2,FALSE),"Giocatore "&amp;D32),"Giocatore "&amp;D32)</x:f>
        <x:v>Ambrosino Raffaele</x:v>
      </x:c>
      <x:c r="F32" s="14">
        <x:v>81.0</x:v>
      </x:c>
      <x:c r="G32" s="14">
        <x:v>5.0</x:v>
      </x:c>
      <x:c r="H32" s="10">
        <x:v>0.0</x:v>
      </x:c>
      <x:c r="I32" s="6">
        <x:f t="shared" si="1"/>
        <x:v>1</x:v>
      </x:c>
      <x:c r="J32" s="10"/>
    </x:row>
    <x:row r="33" ht="13.5" customHeight="1">
      <x:c r="A33" s="6">
        <x:v>1.0</x:v>
      </x:c>
      <x:c r="B33" s="6" t="s">
        <x:v>95</x:v>
      </x:c>
      <x:c r="C33" s="6">
        <x:v>4.0</x:v>
      </x:c>
      <x:c r="D33" s="6">
        <x:v>29.0</x:v>
      </x:c>
      <x:c r="E33" s="6" t="str">
        <x:f>IFERROR(IF(VLOOKUP(D33,Giocatori!$A$4:$C$48,2,FALSE)&lt;&gt;"",VLOOKUP(D33,Giocatori!$A$4:$C$48,2,FALSE),"Giocatore "&amp;D33),"Giocatore "&amp;D33)</x:f>
        <x:v>Tufano Giovanni</x:v>
      </x:c>
      <x:c r="F33" s="14">
        <x:v>33.0</x:v>
      </x:c>
      <x:c r="G33" s="14">
        <x:v>2.0</x:v>
      </x:c>
      <x:c r="H33" s="10">
        <x:v>0.0</x:v>
      </x:c>
      <x:c r="I33" s="6">
        <x:f t="shared" si="1"/>
        <x:v>6</x:v>
      </x:c>
      <x:c r="J33" s="10"/>
    </x:row>
    <x:row r="34" ht="13.5" customHeight="1">
      <x:c r="A34" s="6">
        <x:v>1.0</x:v>
      </x:c>
      <x:c r="B34" s="6" t="s">
        <x:v>95</x:v>
      </x:c>
      <x:c r="C34" s="6">
        <x:v>5.0</x:v>
      </x:c>
      <x:c r="D34" s="6">
        <x:v>30.0</x:v>
      </x:c>
      <x:c r="E34" s="6" t="str">
        <x:f>IFERROR(IF(VLOOKUP(D34,Giocatori!$A$4:$C$48,2,FALSE)&lt;&gt;"",VLOOKUP(D34,Giocatori!$A$4:$C$48,2,FALSE),"Giocatore "&amp;D34),"Giocatore "&amp;D34)</x:f>
        <x:v>Mauro Raffaele</x:v>
      </x:c>
      <x:c r="F34" s="14">
        <x:v>33.0</x:v>
      </x:c>
      <x:c r="G34" s="14">
        <x:v>3.0</x:v>
      </x:c>
      <x:c r="H34" s="14">
        <x:v>1.0</x:v>
      </x:c>
      <x:c r="I34" s="6" t="n">
        <x:f>IF(OR(G34="",G34&lt;1,G34&gt;5),"",CHOOSE(G34,9,6,4,2,1)+2*IF(H34="",0,H34))</x:f>
        <x:v>6</x:v>
      </x:c>
      <x:c r="J34" s="10"/>
      <x:c r="K34" s="20" t="s">
        <x:v>98</x:v>
      </x:c>
    </x:row>
    <x:row r="35" ht="13.5" customHeight="1">
      <x:c r="A35" s="6">
        <x:v>1.0</x:v>
      </x:c>
      <x:c r="B35" s="6" t="s">
        <x:v>96</x:v>
      </x:c>
      <x:c r="C35" s="6">
        <x:v>1.0</x:v>
      </x:c>
      <x:c r="D35" s="6">
        <x:v>31.0</x:v>
      </x:c>
      <x:c r="E35" s="6" t="str">
        <x:f>IFERROR(IF(VLOOKUP(D35,Giocatori!$A$4:$C$48,2,FALSE)&lt;&gt;"",VLOOKUP(D35,Giocatori!$A$4:$C$48,2,FALSE),"Giocatore "&amp;D35),"Giocatore "&amp;D35)</x:f>
        <x:v>Anna Angiero</x:v>
      </x:c>
      <x:c r="F35" s="14">
        <x:v>60.0</x:v>
      </x:c>
      <x:c r="G35" s="14">
        <x:v>2.0</x:v>
      </x:c>
      <x:c r="H35" s="10">
        <x:v>0.0</x:v>
      </x:c>
      <x:c r="I35" s="6" t="n">
        <x:f t="shared" ref="I35:I169" si="2">IF(OR(G35="",G35&lt;1,G35&gt;5),"",CHOOSE(G35,9,6,4,2,1)+2*IF(H35="",0,H35))</x:f>
        <x:v>6</x:v>
      </x:c>
      <x:c r="J35" s="10"/>
    </x:row>
    <x:row r="36" ht="13.5" customHeight="1">
      <x:c r="A36" s="6">
        <x:v>1.0</x:v>
      </x:c>
      <x:c r="B36" s="6" t="s">
        <x:v>96</x:v>
      </x:c>
      <x:c r="C36" s="6">
        <x:v>2.0</x:v>
      </x:c>
      <x:c r="D36" s="6">
        <x:v>32.0</x:v>
      </x:c>
      <x:c r="E36" s="6" t="str">
        <x:f>IFERROR(IF(VLOOKUP(D36,Giocatori!$A$4:$C$48,2,FALSE)&lt;&gt;"",VLOOKUP(D36,Giocatori!$A$4:$C$48,2,FALSE),"Giocatore "&amp;D36),"Giocatore "&amp;D36)</x:f>
        <x:v>Notaro Giacomo</x:v>
      </x:c>
      <x:c r="F36" s="14">
        <x:v>70.0</x:v>
      </x:c>
      <x:c r="G36" s="14">
        <x:v>3.0</x:v>
      </x:c>
      <x:c r="H36" s="10">
        <x:v>0.0</x:v>
      </x:c>
      <x:c r="I36" s="6">
        <x:f t="shared" si="2"/>
        <x:v>4</x:v>
      </x:c>
      <x:c r="J36" s="10"/>
    </x:row>
    <x:row r="37" ht="13.5" customHeight="1">
      <x:c r="A37" s="6">
        <x:v>1.0</x:v>
      </x:c>
      <x:c r="B37" s="6" t="s">
        <x:v>96</x:v>
      </x:c>
      <x:c r="C37" s="6">
        <x:v>3.0</x:v>
      </x:c>
      <x:c r="D37" s="6">
        <x:v>33.0</x:v>
      </x:c>
      <x:c r="E37" s="6" t="str">
        <x:f>IFERROR(IF(VLOOKUP(D37,Giocatori!$A$4:$C$48,2,FALSE)&lt;&gt;"",VLOOKUP(D37,Giocatori!$A$4:$C$48,2,FALSE),"Giocatore "&amp;D37),"Giocatore "&amp;D37)</x:f>
        <x:v>Nappi Nestore</x:v>
      </x:c>
      <x:c r="F37" s="14">
        <x:v>73.0</x:v>
      </x:c>
      <x:c r="G37" s="14">
        <x:v>4.0</x:v>
      </x:c>
      <x:c r="H37" s="10">
        <x:v>0.0</x:v>
      </x:c>
      <x:c r="I37" s="6">
        <x:f t="shared" si="2"/>
        <x:v>2</x:v>
      </x:c>
      <x:c r="J37" s="10"/>
    </x:row>
    <x:row r="38" ht="13.5" customHeight="1">
      <x:c r="A38" s="6">
        <x:v>1.0</x:v>
      </x:c>
      <x:c r="B38" s="6" t="s">
        <x:v>96</x:v>
      </x:c>
      <x:c r="C38" s="6">
        <x:v>4.0</x:v>
      </x:c>
      <x:c r="D38" s="6">
        <x:v>34.0</x:v>
      </x:c>
      <x:c r="E38" s="6" t="str">
        <x:f>IFERROR(IF(VLOOKUP(D38,Giocatori!$A$4:$C$48,2,FALSE)&lt;&gt;"",VLOOKUP(D38,Giocatori!$A$4:$C$48,2,FALSE),"Giocatore "&amp;D38),"Giocatore "&amp;D38)</x:f>
        <x:v>Pasquale Marotta</x:v>
      </x:c>
      <x:c r="F38" s="14">
        <x:v>89.0</x:v>
      </x:c>
      <x:c r="G38" s="14">
        <x:v>5.0</x:v>
      </x:c>
      <x:c r="H38" s="10">
        <x:v>0.0</x:v>
      </x:c>
      <x:c r="I38" s="6">
        <x:f t="shared" si="2"/>
        <x:v>1</x:v>
      </x:c>
      <x:c r="J38" s="10"/>
    </x:row>
    <x:row r="39" ht="13.5" customHeight="1">
      <x:c r="A39" s="6">
        <x:v>1.0</x:v>
      </x:c>
      <x:c r="B39" s="6" t="s">
        <x:v>96</x:v>
      </x:c>
      <x:c r="C39" s="6">
        <x:v>5.0</x:v>
      </x:c>
      <x:c r="D39" s="6">
        <x:v>35.0</x:v>
      </x:c>
      <x:c r="E39" s="6" t="str">
        <x:f>IFERROR(IF(VLOOKUP(D39,Giocatori!$A$4:$C$48,2,FALSE)&lt;&gt;"",VLOOKUP(D39,Giocatori!$A$4:$C$48,2,FALSE),"Giocatore "&amp;D39),"Giocatore "&amp;D39)</x:f>
        <x:v>Napolitano Raffaele</x:v>
      </x:c>
      <x:c r="F39" s="14">
        <x:v>28.0</x:v>
      </x:c>
      <x:c r="G39" s="14">
        <x:v>1.0</x:v>
      </x:c>
      <x:c r="H39" s="14">
        <x:v>1.0</x:v>
      </x:c>
      <x:c r="I39" s="6">
        <x:f t="shared" si="2"/>
        <x:v>11</x:v>
      </x:c>
      <x:c r="J39" s="10"/>
    </x:row>
    <x:row r="40" ht="13.5" customHeight="1">
      <x:c r="A40" s="6">
        <x:v>1.0</x:v>
      </x:c>
      <x:c r="B40" s="6" t="s">
        <x:v>99</x:v>
      </x:c>
      <x:c r="C40" s="6">
        <x:v>1.0</x:v>
      </x:c>
      <x:c r="D40" s="6">
        <x:v>36.0</x:v>
      </x:c>
      <x:c r="E40" s="6" t="str">
        <x:f>IFERROR(IF(VLOOKUP(D40,Giocatori!$A$4:$C$48,2,FALSE)&lt;&gt;"",VLOOKUP(D40,Giocatori!$A$4:$C$48,2,FALSE),"Giocatore "&amp;D40),"Giocatore "&amp;D40)</x:f>
        <x:v>Perretta Maurizio</x:v>
      </x:c>
      <x:c r="F40" s="14">
        <x:v>82.0</x:v>
      </x:c>
      <x:c r="G40" s="14">
        <x:v>5.0</x:v>
      </x:c>
      <x:c r="H40" s="10">
        <x:v>0.0</x:v>
      </x:c>
      <x:c r="I40" s="6">
        <x:f t="shared" si="2"/>
        <x:v>1</x:v>
      </x:c>
      <x:c r="J40" s="10"/>
    </x:row>
    <x:row r="41" ht="13.5" customHeight="1">
      <x:c r="A41" s="6">
        <x:v>1.0</x:v>
      </x:c>
      <x:c r="B41" s="6" t="s">
        <x:v>99</x:v>
      </x:c>
      <x:c r="C41" s="6">
        <x:v>2.0</x:v>
      </x:c>
      <x:c r="D41" s="6">
        <x:v>37.0</x:v>
      </x:c>
      <x:c r="E41" s="6" t="str">
        <x:f>IFERROR(IF(VLOOKUP(D41,Giocatori!$A$4:$C$48,2,FALSE)&lt;&gt;"",VLOOKUP(D41,Giocatori!$A$4:$C$48,2,FALSE),"Giocatore "&amp;D41),"Giocatore "&amp;D41)</x:f>
        <x:v>Annunziata Raffaele</x:v>
      </x:c>
      <x:c r="F41" s="14">
        <x:v>22.0</x:v>
      </x:c>
      <x:c r="G41" s="14">
        <x:v>1.0</x:v>
      </x:c>
      <x:c r="H41" s="10">
        <x:v>0.0</x:v>
      </x:c>
      <x:c r="I41" s="6">
        <x:f t="shared" si="2"/>
        <x:v>9</x:v>
      </x:c>
      <x:c r="J41" s="10"/>
    </x:row>
    <x:row r="42" ht="13.5" customHeight="1">
      <x:c r="A42" s="6">
        <x:v>1.0</x:v>
      </x:c>
      <x:c r="B42" s="6" t="s">
        <x:v>99</x:v>
      </x:c>
      <x:c r="C42" s="6">
        <x:v>3.0</x:v>
      </x:c>
      <x:c r="D42" s="6">
        <x:v>38.0</x:v>
      </x:c>
      <x:c r="E42" s="6" t="str">
        <x:f>IFERROR(IF(VLOOKUP(D42,Giocatori!$A$4:$C$48,2,FALSE)&lt;&gt;"",VLOOKUP(D42,Giocatori!$A$4:$C$48,2,FALSE),"Giocatore "&amp;D42),"Giocatore "&amp;D42)</x:f>
        <x:v>Giuseppe Pierro</x:v>
      </x:c>
      <x:c r="F42" s="14">
        <x:v>43.0</x:v>
      </x:c>
      <x:c r="G42" s="14">
        <x:v>3.0</x:v>
      </x:c>
      <x:c r="H42" s="10">
        <x:v>0.0</x:v>
      </x:c>
      <x:c r="I42" s="6">
        <x:f t="shared" si="2"/>
        <x:v>4</x:v>
      </x:c>
      <x:c r="J42" s="10"/>
    </x:row>
    <x:row r="43" ht="13.5" customHeight="1">
      <x:c r="A43" s="6">
        <x:v>1.0</x:v>
      </x:c>
      <x:c r="B43" s="6" t="s">
        <x:v>99</x:v>
      </x:c>
      <x:c r="C43" s="6">
        <x:v>4.0</x:v>
      </x:c>
      <x:c r="D43" s="6">
        <x:v>39.0</x:v>
      </x:c>
      <x:c r="E43" s="6" t="str">
        <x:f>IFERROR(IF(VLOOKUP(D43,Giocatori!$A$4:$C$48,2,FALSE)&lt;&gt;"",VLOOKUP(D43,Giocatori!$A$4:$C$48,2,FALSE),"Giocatore "&amp;D43),"Giocatore "&amp;D43)</x:f>
        <x:v>La Marca Pasquale</x:v>
      </x:c>
      <x:c r="F43" s="14">
        <x:v>53.0</x:v>
      </x:c>
      <x:c r="G43" s="14">
        <x:v>4.0</x:v>
      </x:c>
      <x:c r="H43" s="10">
        <x:v>0.0</x:v>
      </x:c>
      <x:c r="I43" s="6">
        <x:f t="shared" si="2"/>
        <x:v>2</x:v>
      </x:c>
      <x:c r="J43" s="10"/>
    </x:row>
    <x:row r="44" ht="13.5" customHeight="1">
      <x:c r="A44" s="6">
        <x:v>1.0</x:v>
      </x:c>
      <x:c r="B44" s="6" t="s">
        <x:v>99</x:v>
      </x:c>
      <x:c r="C44" s="6">
        <x:v>5.0</x:v>
      </x:c>
      <x:c r="D44" s="6">
        <x:v>40.0</x:v>
      </x:c>
      <x:c r="E44" s="6" t="str">
        <x:f>IFERROR(IF(VLOOKUP(D44,Giocatori!$A$4:$C$48,2,FALSE)&lt;&gt;"",VLOOKUP(D44,Giocatori!$A$4:$C$48,2,FALSE),"Giocatore "&amp;D44),"Giocatore "&amp;D44)</x:f>
        <x:v>Ambrosino Michele</x:v>
      </x:c>
      <x:c r="F44" s="14">
        <x:v>31.0</x:v>
      </x:c>
      <x:c r="G44" s="14">
        <x:v>2.0</x:v>
      </x:c>
      <x:c r="H44" s="10">
        <x:v>0.0</x:v>
      </x:c>
      <x:c r="I44" s="6">
        <x:f t="shared" si="2"/>
        <x:v>6</x:v>
      </x:c>
      <x:c r="J44" s="10"/>
    </x:row>
    <x:row r="45" ht="13.5" customHeight="1">
      <x:c r="A45" s="6">
        <x:v>2.0</x:v>
      </x:c>
      <x:c r="B45" s="6" t="s">
        <x:v>90</x:v>
      </x:c>
      <x:c r="C45" s="6">
        <x:v>1.0</x:v>
      </x:c>
      <x:c r="D45" s="6">
        <x:v>1.0</x:v>
      </x:c>
      <x:c r="E45" s="6" t="str">
        <x:f>IFERROR(IF(VLOOKUP(D45,Giocatori!$A$4:$C$48,2,FALSE)&lt;&gt;"",VLOOKUP(D45,Giocatori!$A$4:$C$48,2,FALSE),"Giocatore "&amp;D45),"Giocatore "&amp;D45)</x:f>
        <x:v>Zio Raffaele</x:v>
      </x:c>
      <x:c r="F45" s="14">
        <x:v>91.0</x:v>
      </x:c>
      <x:c r="G45" s="14">
        <x:v>5.0</x:v>
      </x:c>
      <x:c r="H45" s="10">
        <x:v>0.0</x:v>
      </x:c>
      <x:c r="I45" s="6">
        <x:f t="shared" si="2"/>
        <x:v>1</x:v>
      </x:c>
      <x:c r="J45" s="10"/>
    </x:row>
    <x:row r="46" ht="13.5" customHeight="1">
      <x:c r="A46" s="6">
        <x:v>2.0</x:v>
      </x:c>
      <x:c r="B46" s="6" t="s">
        <x:v>90</x:v>
      </x:c>
      <x:c r="C46" s="6">
        <x:v>2.0</x:v>
      </x:c>
      <x:c r="D46" s="6">
        <x:v>37.0</x:v>
      </x:c>
      <x:c r="E46" s="6" t="str">
        <x:f>IFERROR(IF(VLOOKUP(D46,Giocatori!$A$4:$C$48,2,FALSE)&lt;&gt;"",VLOOKUP(D46,Giocatori!$A$4:$C$48,2,FALSE),"Giocatore "&amp;D46),"Giocatore "&amp;D46)</x:f>
        <x:v>Annunziata Raffaele</x:v>
      </x:c>
      <x:c r="F46" s="14">
        <x:v>51.0</x:v>
      </x:c>
      <x:c r="G46" s="14">
        <x:v>3.0</x:v>
      </x:c>
      <x:c r="H46" s="10">
        <x:v>0.0</x:v>
      </x:c>
      <x:c r="I46" s="6">
        <x:f t="shared" si="2"/>
        <x:v>4</x:v>
      </x:c>
      <x:c r="J46" s="10"/>
    </x:row>
    <x:row r="47" ht="13.5" customHeight="1">
      <x:c r="A47" s="6">
        <x:v>2.0</x:v>
      </x:c>
      <x:c r="B47" s="6" t="s">
        <x:v>90</x:v>
      </x:c>
      <x:c r="C47" s="6">
        <x:v>3.0</x:v>
      </x:c>
      <x:c r="D47" s="6">
        <x:v>33.0</x:v>
      </x:c>
      <x:c r="E47" s="6" t="str">
        <x:f>IFERROR(IF(VLOOKUP(D47,Giocatori!$A$4:$C$48,2,FALSE)&lt;&gt;"",VLOOKUP(D47,Giocatori!$A$4:$C$48,2,FALSE),"Giocatore "&amp;D47),"Giocatore "&amp;D47)</x:f>
        <x:v>Nappi Nestore</x:v>
      </x:c>
      <x:c r="F47" s="14">
        <x:v>20.0</x:v>
      </x:c>
      <x:c r="G47" s="14">
        <x:v>1.0</x:v>
      </x:c>
      <x:c r="H47" s="10">
        <x:v>0.0</x:v>
      </x:c>
      <x:c r="I47" s="6">
        <x:f t="shared" si="2"/>
        <x:v>9</x:v>
      </x:c>
      <x:c r="J47" s="10"/>
    </x:row>
    <x:row r="48" ht="13.5" customHeight="1">
      <x:c r="A48" s="6">
        <x:v>2.0</x:v>
      </x:c>
      <x:c r="B48" s="6" t="s">
        <x:v>90</x:v>
      </x:c>
      <x:c r="C48" s="6">
        <x:v>4.0</x:v>
      </x:c>
      <x:c r="D48" s="6">
        <x:v>29.0</x:v>
      </x:c>
      <x:c r="E48" s="6" t="str">
        <x:f>IFERROR(IF(VLOOKUP(D48,Giocatori!$A$4:$C$48,2,FALSE)&lt;&gt;"",VLOOKUP(D48,Giocatori!$A$4:$C$48,2,FALSE),"Giocatore "&amp;D48),"Giocatore "&amp;D48)</x:f>
        <x:v>Tufano Giovanni</x:v>
      </x:c>
      <x:c r="F48" s="14">
        <x:v>30.0</x:v>
      </x:c>
      <x:c r="G48" s="14">
        <x:v>2.0</x:v>
      </x:c>
      <x:c r="H48" s="10">
        <x:v>0.0</x:v>
      </x:c>
      <x:c r="I48" s="6">
        <x:f t="shared" si="2"/>
        <x:v>6</x:v>
      </x:c>
      <x:c r="J48" s="10"/>
    </x:row>
    <x:row r="49" ht="13.5" customHeight="1">
      <x:c r="A49" s="6">
        <x:v>2.0</x:v>
      </x:c>
      <x:c r="B49" s="6" t="s">
        <x:v>90</x:v>
      </x:c>
      <x:c r="C49" s="6">
        <x:v>5.0</x:v>
      </x:c>
      <x:c r="D49" s="6">
        <x:v>25.0</x:v>
      </x:c>
      <x:c r="E49" s="6" t="str">
        <x:f>IFERROR(IF(VLOOKUP(D49,Giocatori!$A$4:$C$48,2,FALSE)&lt;&gt;"",VLOOKUP(D49,Giocatori!$A$4:$C$48,2,FALSE),"Giocatore "&amp;D49),"Giocatore "&amp;D49)</x:f>
        <x:v>Fontanella Giuseppe</x:v>
      </x:c>
      <x:c r="F49" s="14">
        <x:v>78.0</x:v>
      </x:c>
      <x:c r="G49" s="14">
        <x:v>4.0</x:v>
      </x:c>
      <x:c r="H49" s="10">
        <x:v>0.0</x:v>
      </x:c>
      <x:c r="I49" s="6">
        <x:f t="shared" si="2"/>
        <x:v>2</x:v>
      </x:c>
      <x:c r="J49" s="10"/>
    </x:row>
    <x:row r="50" ht="13.5" customHeight="1">
      <x:c r="A50" s="6">
        <x:v>2.0</x:v>
      </x:c>
      <x:c r="B50" s="6" t="s">
        <x:v>91</x:v>
      </x:c>
      <x:c r="C50" s="6">
        <x:v>1.0</x:v>
      </x:c>
      <x:c r="D50" s="6">
        <x:v>6.0</x:v>
      </x:c>
      <x:c r="E50" s="6" t="str">
        <x:f>IFERROR(IF(VLOOKUP(D50,Giocatori!$A$4:$C$48,2,FALSE)&lt;&gt;"",VLOOKUP(D50,Giocatori!$A$4:$C$48,2,FALSE),"Giocatore "&amp;D50),"Giocatore "&amp;D50)</x:f>
        <x:v>Sommese Antonio</x:v>
      </x:c>
      <x:c r="F50" s="14">
        <x:v>38.0</x:v>
      </x:c>
      <x:c r="G50" s="14">
        <x:v>3.0</x:v>
      </x:c>
      <x:c r="H50" s="10">
        <x:v>0.0</x:v>
      </x:c>
      <x:c r="I50" s="6">
        <x:f t="shared" si="2"/>
        <x:v>4</x:v>
      </x:c>
      <x:c r="J50" s="10"/>
    </x:row>
    <x:row r="51" ht="13.5" customHeight="1">
      <x:c r="A51" s="6">
        <x:v>2.0</x:v>
      </x:c>
      <x:c r="B51" s="6" t="s">
        <x:v>91</x:v>
      </x:c>
      <x:c r="C51" s="6">
        <x:v>2.0</x:v>
      </x:c>
      <x:c r="D51" s="6">
        <x:v>2.0</x:v>
      </x:c>
      <x:c r="E51" s="6" t="str">
        <x:f>IFERROR(IF(VLOOKUP(D51,Giocatori!$A$4:$C$48,2,FALSE)&lt;&gt;"",VLOOKUP(D51,Giocatori!$A$4:$C$48,2,FALSE),"Giocatore "&amp;D51),"Giocatore "&amp;D51)</x:f>
        <x:v>Nicola Mauro</x:v>
      </x:c>
      <x:c r="F51" s="14">
        <x:v>97.0</x:v>
      </x:c>
      <x:c r="G51" s="14">
        <x:v>5.0</x:v>
      </x:c>
      <x:c r="H51" s="10">
        <x:v>0.0</x:v>
      </x:c>
      <x:c r="I51" s="6">
        <x:f t="shared" si="2"/>
        <x:v>1</x:v>
      </x:c>
      <x:c r="J51" s="10"/>
    </x:row>
    <x:row r="52" ht="13.5" customHeight="1">
      <x:c r="A52" s="6">
        <x:v>2.0</x:v>
      </x:c>
      <x:c r="B52" s="6" t="s">
        <x:v>91</x:v>
      </x:c>
      <x:c r="C52" s="6">
        <x:v>3.0</x:v>
      </x:c>
      <x:c r="D52" s="6">
        <x:v>38.0</x:v>
      </x:c>
      <x:c r="E52" s="6" t="str">
        <x:f>IFERROR(IF(VLOOKUP(D52,Giocatori!$A$4:$C$48,2,FALSE)&lt;&gt;"",VLOOKUP(D52,Giocatori!$A$4:$C$48,2,FALSE),"Giocatore "&amp;D52),"Giocatore "&amp;D52)</x:f>
        <x:v>Giuseppe Pierro</x:v>
      </x:c>
      <x:c r="F52" s="14">
        <x:v>33.0</x:v>
      </x:c>
      <x:c r="G52" s="14">
        <x:v>2.0</x:v>
      </x:c>
      <x:c r="H52" s="10">
        <x:v>0.0</x:v>
      </x:c>
      <x:c r="I52" s="6">
        <x:f t="shared" si="2"/>
        <x:v>6</x:v>
      </x:c>
      <x:c r="J52" s="10"/>
    </x:row>
    <x:row r="53" ht="13.5" customHeight="1">
      <x:c r="A53" s="6">
        <x:v>2.0</x:v>
      </x:c>
      <x:c r="B53" s="6" t="s">
        <x:v>91</x:v>
      </x:c>
      <x:c r="C53" s="6">
        <x:v>4.0</x:v>
      </x:c>
      <x:c r="D53" s="6">
        <x:v>34.0</x:v>
      </x:c>
      <x:c r="E53" s="6" t="str">
        <x:f>IFERROR(IF(VLOOKUP(D53,Giocatori!$A$4:$C$48,2,FALSE)&lt;&gt;"",VLOOKUP(D53,Giocatori!$A$4:$C$48,2,FALSE),"Giocatore "&amp;D53),"Giocatore "&amp;D53)</x:f>
        <x:v>Pasquale Marotta</x:v>
      </x:c>
      <x:c r="F53" s="14">
        <x:v>25.0</x:v>
      </x:c>
      <x:c r="G53" s="14">
        <x:v>1.0</x:v>
      </x:c>
      <x:c r="H53" s="10">
        <x:v>0.0</x:v>
      </x:c>
      <x:c r="I53" s="6">
        <x:f t="shared" si="2"/>
        <x:v>9</x:v>
      </x:c>
      <x:c r="J53" s="10"/>
    </x:row>
    <x:row r="54" ht="13.5" customHeight="1">
      <x:c r="A54" s="6">
        <x:v>2.0</x:v>
      </x:c>
      <x:c r="B54" s="6" t="s">
        <x:v>91</x:v>
      </x:c>
      <x:c r="C54" s="6">
        <x:v>5.0</x:v>
      </x:c>
      <x:c r="D54" s="6">
        <x:v>30.0</x:v>
      </x:c>
      <x:c r="E54" s="6" t="str">
        <x:f>IFERROR(IF(VLOOKUP(D54,Giocatori!$A$4:$C$48,2,FALSE)&lt;&gt;"",VLOOKUP(D54,Giocatori!$A$4:$C$48,2,FALSE),"Giocatore "&amp;D54),"Giocatore "&amp;D54)</x:f>
        <x:v>Mauro Raffaele</x:v>
      </x:c>
      <x:c r="F54" s="14">
        <x:v>59.0</x:v>
      </x:c>
      <x:c r="G54" s="14">
        <x:v>4.0</x:v>
      </x:c>
      <x:c r="H54" s="10">
        <x:v>0.0</x:v>
      </x:c>
      <x:c r="I54" s="6">
        <x:f t="shared" si="2"/>
        <x:v>2</x:v>
      </x:c>
      <x:c r="J54" s="10"/>
    </x:row>
    <x:row r="55" ht="13.5" customHeight="1">
      <x:c r="A55" s="6">
        <x:v>2.0</x:v>
      </x:c>
      <x:c r="B55" s="6" t="s">
        <x:v>92</x:v>
      </x:c>
      <x:c r="C55" s="6">
        <x:v>1.0</x:v>
      </x:c>
      <x:c r="D55" s="6">
        <x:v>11.0</x:v>
      </x:c>
      <x:c r="E55" s="6" t="str">
        <x:f>IFERROR(IF(VLOOKUP(D55,Giocatori!$A$4:$C$48,2,FALSE)&lt;&gt;"",VLOOKUP(D55,Giocatori!$A$4:$C$48,2,FALSE),"Giocatore "&amp;D55),"Giocatore "&amp;D55)</x:f>
        <x:v>Moccia Biagio</x:v>
      </x:c>
      <x:c r="F55" s="14">
        <x:v>40.0</x:v>
      </x:c>
      <x:c r="G55" s="14">
        <x:v>2.0</x:v>
      </x:c>
      <x:c r="H55" s="10">
        <x:v>0.0</x:v>
      </x:c>
      <x:c r="I55" s="6">
        <x:f t="shared" si="2"/>
        <x:v>6</x:v>
      </x:c>
      <x:c r="J55" s="10"/>
    </x:row>
    <x:row r="56" ht="13.5" customHeight="1">
      <x:c r="A56" s="6">
        <x:v>2.0</x:v>
      </x:c>
      <x:c r="B56" s="6" t="s">
        <x:v>92</x:v>
      </x:c>
      <x:c r="C56" s="6">
        <x:v>2.0</x:v>
      </x:c>
      <x:c r="D56" s="6">
        <x:v>7.0</x:v>
      </x:c>
      <x:c r="E56" s="6" t="str">
        <x:f>IFERROR(IF(VLOOKUP(D56,Giocatori!$A$4:$C$48,2,FALSE)&lt;&gt;"",VLOOKUP(D56,Giocatori!$A$4:$C$48,2,FALSE),"Giocatore "&amp;D56),"Giocatore "&amp;D56)</x:f>
        <x:v>Notaro massimo</x:v>
      </x:c>
      <x:c r="F56" s="14">
        <x:v>86.0</x:v>
      </x:c>
      <x:c r="G56" s="14">
        <x:v>5.0</x:v>
      </x:c>
      <x:c r="H56" s="10">
        <x:v>0.0</x:v>
      </x:c>
      <x:c r="I56" s="6">
        <x:f t="shared" si="2"/>
        <x:v>1</x:v>
      </x:c>
      <x:c r="J56" s="10"/>
    </x:row>
    <x:row r="57" ht="13.5" customHeight="1">
      <x:c r="A57" s="6">
        <x:v>2.0</x:v>
      </x:c>
      <x:c r="B57" s="6" t="s">
        <x:v>92</x:v>
      </x:c>
      <x:c r="C57" s="6">
        <x:v>3.0</x:v>
      </x:c>
      <x:c r="D57" s="6">
        <x:v>3.0</x:v>
      </x:c>
      <x:c r="E57" s="6" t="str">
        <x:f>IFERROR(IF(VLOOKUP(D57,Giocatori!$A$4:$C$48,2,FALSE)&lt;&gt;"",VLOOKUP(D57,Giocatori!$A$4:$C$48,2,FALSE),"Giocatore "&amp;D57),"Giocatore "&amp;D57)</x:f>
        <x:v>Beracci Lucio</x:v>
      </x:c>
      <x:c r="F57" s="14">
        <x:v>40.0</x:v>
      </x:c>
      <x:c r="G57" s="14">
        <x:v>3.0</x:v>
      </x:c>
      <x:c r="H57" s="14">
        <x:v>1.0</x:v>
      </x:c>
      <x:c r="I57" s="6">
        <x:f t="shared" si="2"/>
        <x:v>6</x:v>
      </x:c>
      <x:c r="J57" s="14" t="s">
        <x:v>98</x:v>
      </x:c>
    </x:row>
    <x:row r="58" ht="13.5" customHeight="1">
      <x:c r="A58" s="6">
        <x:v>2.0</x:v>
      </x:c>
      <x:c r="B58" s="6" t="s">
        <x:v>92</x:v>
      </x:c>
      <x:c r="C58" s="6">
        <x:v>4.0</x:v>
      </x:c>
      <x:c r="D58" s="6">
        <x:v>39.0</x:v>
      </x:c>
      <x:c r="E58" s="6" t="str">
        <x:f>IFERROR(IF(VLOOKUP(D58,Giocatori!$A$4:$C$48,2,FALSE)&lt;&gt;"",VLOOKUP(D58,Giocatori!$A$4:$C$48,2,FALSE),"Giocatore "&amp;D58),"Giocatore "&amp;D58)</x:f>
        <x:v>La Marca Pasquale</x:v>
      </x:c>
      <x:c r="F58" s="14">
        <x:v>29.0</x:v>
      </x:c>
      <x:c r="G58" s="14">
        <x:v>1.0</x:v>
      </x:c>
      <x:c r="H58" s="10">
        <x:v>0.0</x:v>
      </x:c>
      <x:c r="I58" s="6">
        <x:f t="shared" si="2"/>
        <x:v>9</x:v>
      </x:c>
      <x:c r="J58" s="10"/>
    </x:row>
    <x:row r="59" ht="13.5" customHeight="1">
      <x:c r="A59" s="6">
        <x:v>2.0</x:v>
      </x:c>
      <x:c r="B59" s="6" t="s">
        <x:v>92</x:v>
      </x:c>
      <x:c r="C59" s="6">
        <x:v>5.0</x:v>
      </x:c>
      <x:c r="D59" s="6">
        <x:v>35.0</x:v>
      </x:c>
      <x:c r="E59" s="6" t="str">
        <x:f>IFERROR(IF(VLOOKUP(D59,Giocatori!$A$4:$C$48,2,FALSE)&lt;&gt;"",VLOOKUP(D59,Giocatori!$A$4:$C$48,2,FALSE),"Giocatore "&amp;D59),"Giocatore "&amp;D59)</x:f>
        <x:v>Napolitano Raffaele</x:v>
      </x:c>
      <x:c r="F59" s="14">
        <x:v>57.0</x:v>
      </x:c>
      <x:c r="G59" s="14">
        <x:v>4.0</x:v>
      </x:c>
      <x:c r="H59" s="10">
        <x:v>0.0</x:v>
      </x:c>
      <x:c r="I59" s="6">
        <x:f t="shared" si="2"/>
        <x:v>2</x:v>
      </x:c>
      <x:c r="J59" s="10"/>
    </x:row>
    <x:row r="60" ht="13.5" customHeight="1">
      <x:c r="A60" s="6">
        <x:v>2.0</x:v>
      </x:c>
      <x:c r="B60" s="6" t="s">
        <x:v>93</x:v>
      </x:c>
      <x:c r="C60" s="6">
        <x:v>1.0</x:v>
      </x:c>
      <x:c r="D60" s="6">
        <x:v>16.0</x:v>
      </x:c>
      <x:c r="E60" s="6" t="str">
        <x:f>IFERROR(IF(VLOOKUP(D60,Giocatori!$A$4:$C$48,2,FALSE)&lt;&gt;"",VLOOKUP(D60,Giocatori!$A$4:$C$48,2,FALSE),"Giocatore "&amp;D60),"Giocatore "&amp;D60)</x:f>
        <x:v>Iorio Raffaele</x:v>
      </x:c>
      <x:c r="F60" s="14">
        <x:v>39.0</x:v>
      </x:c>
      <x:c r="G60" s="14">
        <x:v>1.0</x:v>
      </x:c>
      <x:c r="H60" s="10">
        <x:v>0.0</x:v>
      </x:c>
      <x:c r="I60" s="6">
        <x:f t="shared" si="2"/>
        <x:v>9</x:v>
      </x:c>
      <x:c r="J60" s="10"/>
    </x:row>
    <x:row r="61" ht="13.5" customHeight="1">
      <x:c r="A61" s="6">
        <x:v>2.0</x:v>
      </x:c>
      <x:c r="B61" s="6" t="s">
        <x:v>93</x:v>
      </x:c>
      <x:c r="C61" s="6">
        <x:v>2.0</x:v>
      </x:c>
      <x:c r="D61" s="6">
        <x:v>12.0</x:v>
      </x:c>
      <x:c r="E61" s="6" t="str">
        <x:f>IFERROR(IF(VLOOKUP(D61,Giocatori!$A$4:$C$48,2,FALSE)&lt;&gt;"",VLOOKUP(D61,Giocatori!$A$4:$C$48,2,FALSE),"Giocatore "&amp;D61),"Giocatore "&amp;D61)</x:f>
        <x:v>De Falco Andrea</x:v>
      </x:c>
      <x:c r="F61" s="14">
        <x:v>74.0</x:v>
      </x:c>
      <x:c r="G61" s="14">
        <x:v>2.0</x:v>
      </x:c>
      <x:c r="H61" s="10">
        <x:v>0.0</x:v>
      </x:c>
      <x:c r="I61" s="6">
        <x:f t="shared" si="2"/>
        <x:v>6</x:v>
      </x:c>
      <x:c r="J61" s="10"/>
    </x:row>
    <x:row r="62" ht="13.5" customHeight="1">
      <x:c r="A62" s="6">
        <x:v>2.0</x:v>
      </x:c>
      <x:c r="B62" s="6" t="s">
        <x:v>93</x:v>
      </x:c>
      <x:c r="C62" s="6">
        <x:v>3.0</x:v>
      </x:c>
      <x:c r="D62" s="6">
        <x:v>8.0</x:v>
      </x:c>
      <x:c r="E62" s="6" t="str">
        <x:f>IFERROR(IF(VLOOKUP(D62,Giocatori!$A$4:$C$48,2,FALSE)&lt;&gt;"",VLOOKUP(D62,Giocatori!$A$4:$C$48,2,FALSE),"Giocatore "&amp;D62),"Giocatore "&amp;D62)</x:f>
        <x:v>Beracci Benedetto</x:v>
      </x:c>
      <x:c r="F62" s="14">
        <x:v>79.0</x:v>
      </x:c>
      <x:c r="G62" s="14">
        <x:v>4.0</x:v>
      </x:c>
      <x:c r="H62" s="10">
        <x:v>0.0</x:v>
      </x:c>
      <x:c r="I62" s="6">
        <x:f t="shared" si="2"/>
        <x:v>2</x:v>
      </x:c>
      <x:c r="J62" s="10"/>
    </x:row>
    <x:row r="63" ht="13.5" customHeight="1">
      <x:c r="A63" s="6">
        <x:v>2.0</x:v>
      </x:c>
      <x:c r="B63" s="6" t="s">
        <x:v>93</x:v>
      </x:c>
      <x:c r="C63" s="6">
        <x:v>4.0</x:v>
      </x:c>
      <x:c r="D63" s="6">
        <x:v>4.0</x:v>
      </x:c>
      <x:c r="E63" s="6" t="str">
        <x:f>IFERROR(IF(VLOOKUP(D63,Giocatori!$A$4:$C$48,2,FALSE)&lt;&gt;"",VLOOKUP(D63,Giocatori!$A$4:$C$48,2,FALSE),"Giocatore "&amp;D63),"Giocatore "&amp;D63)</x:f>
        <x:v>Annunziata Michele</x:v>
      </x:c>
      <x:c r="F63" s="14">
        <x:v>78.0</x:v>
      </x:c>
      <x:c r="G63" s="14">
        <x:v>3.0</x:v>
      </x:c>
      <x:c r="H63" s="10">
        <x:v>0.0</x:v>
      </x:c>
      <x:c r="I63" s="6">
        <x:f t="shared" si="2"/>
        <x:v>4</x:v>
      </x:c>
      <x:c r="J63" s="10"/>
    </x:row>
    <x:row r="64" ht="13.5" customHeight="1">
      <x:c r="A64" s="6">
        <x:v>2.0</x:v>
      </x:c>
      <x:c r="B64" s="6" t="s">
        <x:v>93</x:v>
      </x:c>
      <x:c r="C64" s="6">
        <x:v>5.0</x:v>
      </x:c>
      <x:c r="D64" s="6">
        <x:v>40.0</x:v>
      </x:c>
      <x:c r="E64" s="6" t="str">
        <x:f>IFERROR(IF(VLOOKUP(D64,Giocatori!$A$4:$C$48,2,FALSE)&lt;&gt;"",VLOOKUP(D64,Giocatori!$A$4:$C$48,2,FALSE),"Giocatore "&amp;D64),"Giocatore "&amp;D64)</x:f>
        <x:v>Ambrosino Michele</x:v>
      </x:c>
      <x:c r="F64" s="14">
        <x:v>81.0</x:v>
      </x:c>
      <x:c r="G64" s="14">
        <x:v>5.0</x:v>
      </x:c>
      <x:c r="H64" s="10">
        <x:v>0.0</x:v>
      </x:c>
      <x:c r="I64" s="6">
        <x:f t="shared" si="2"/>
        <x:v>1</x:v>
      </x:c>
      <x:c r="J64" s="10"/>
    </x:row>
    <x:row r="65" ht="13.5" customHeight="1">
      <x:c r="A65" s="6">
        <x:v>2.0</x:v>
      </x:c>
      <x:c r="B65" s="6" t="s">
        <x:v>94</x:v>
      </x:c>
      <x:c r="C65" s="6">
        <x:v>1.0</x:v>
      </x:c>
      <x:c r="D65" s="6">
        <x:v>21.0</x:v>
      </x:c>
      <x:c r="E65" s="6" t="str">
        <x:f>IFERROR(IF(VLOOKUP(D65,Giocatori!$A$4:$C$48,2,FALSE)&lt;&gt;"",VLOOKUP(D65,Giocatori!$A$4:$C$48,2,FALSE),"Giocatore "&amp;D65),"Giocatore "&amp;D65)</x:f>
        <x:v>Mauro Candice</x:v>
      </x:c>
      <x:c r="F65" s="14">
        <x:v>75.0</x:v>
      </x:c>
      <x:c r="G65" s="14">
        <x:v>4.0</x:v>
      </x:c>
      <x:c r="H65" s="10">
        <x:v>0.0</x:v>
      </x:c>
      <x:c r="I65" s="6">
        <x:f t="shared" si="2"/>
        <x:v>2</x:v>
      </x:c>
      <x:c r="J65" s="10"/>
    </x:row>
    <x:row r="66" ht="13.5" customHeight="1">
      <x:c r="A66" s="6">
        <x:v>2.0</x:v>
      </x:c>
      <x:c r="B66" s="6" t="s">
        <x:v>94</x:v>
      </x:c>
      <x:c r="C66" s="6">
        <x:v>2.0</x:v>
      </x:c>
      <x:c r="D66" s="6">
        <x:v>17.0</x:v>
      </x:c>
      <x:c r="E66" s="6" t="str">
        <x:f>IFERROR(IF(VLOOKUP(D66,Giocatori!$A$4:$C$48,2,FALSE)&lt;&gt;"",VLOOKUP(D66,Giocatori!$A$4:$C$48,2,FALSE),"Giocatore "&amp;D66),"Giocatore "&amp;D66)</x:f>
        <x:v>Scogliamiglio Alfredo</x:v>
      </x:c>
      <x:c r="F66" s="14">
        <x:v>23.0</x:v>
      </x:c>
      <x:c r="G66" s="14">
        <x:v>2.0</x:v>
      </x:c>
      <x:c r="H66" s="10">
        <x:v>0.0</x:v>
      </x:c>
      <x:c r="I66" s="6">
        <x:f t="shared" si="2"/>
        <x:v>6</x:v>
      </x:c>
      <x:c r="J66" s="10"/>
    </x:row>
    <x:row r="67" ht="13.5" customHeight="1">
      <x:c r="A67" s="6">
        <x:v>2.0</x:v>
      </x:c>
      <x:c r="B67" s="6" t="s">
        <x:v>94</x:v>
      </x:c>
      <x:c r="C67" s="6">
        <x:v>3.0</x:v>
      </x:c>
      <x:c r="D67" s="6">
        <x:v>13.0</x:v>
      </x:c>
      <x:c r="E67" s="6" t="str">
        <x:f>IFERROR(IF(VLOOKUP(D67,Giocatori!$A$4:$C$48,2,FALSE)&lt;&gt;"",VLOOKUP(D67,Giocatori!$A$4:$C$48,2,FALSE),"Giocatore "&amp;D67),"Giocatore "&amp;D67)</x:f>
        <x:v>Corbo Alessandro</x:v>
      </x:c>
      <x:c r="F67" s="14">
        <x:v>95.0</x:v>
      </x:c>
      <x:c r="G67" s="14">
        <x:v>5.0</x:v>
      </x:c>
      <x:c r="H67" s="10">
        <x:v>0.0</x:v>
      </x:c>
      <x:c r="I67" s="6">
        <x:f t="shared" si="2"/>
        <x:v>1</x:v>
      </x:c>
      <x:c r="J67" s="10"/>
    </x:row>
    <x:row r="68" ht="13.5" customHeight="1">
      <x:c r="A68" s="6">
        <x:v>2.0</x:v>
      </x:c>
      <x:c r="B68" s="6" t="s">
        <x:v>94</x:v>
      </x:c>
      <x:c r="C68" s="6">
        <x:v>4.0</x:v>
      </x:c>
      <x:c r="D68" s="6">
        <x:v>9.0</x:v>
      </x:c>
      <x:c r="E68" s="6" t="str">
        <x:f>IFERROR(IF(VLOOKUP(D68,Giocatori!$A$4:$C$48,2,FALSE)&lt;&gt;"",VLOOKUP(D68,Giocatori!$A$4:$C$48,2,FALSE),"Giocatore "&amp;D68),"Giocatore "&amp;D68)</x:f>
        <x:v>Atria Gregorio</x:v>
      </x:c>
      <x:c r="F68" s="14">
        <x:v>56.0</x:v>
      </x:c>
      <x:c r="G68" s="14">
        <x:v>3.0</x:v>
      </x:c>
      <x:c r="H68" s="10">
        <x:v>0.0</x:v>
      </x:c>
      <x:c r="I68" s="6">
        <x:f t="shared" si="2"/>
        <x:v>4</x:v>
      </x:c>
      <x:c r="J68" s="10"/>
    </x:row>
    <x:row r="69" ht="13.5" customHeight="1">
      <x:c r="A69" s="6">
        <x:v>2.0</x:v>
      </x:c>
      <x:c r="B69" s="6" t="s">
        <x:v>94</x:v>
      </x:c>
      <x:c r="C69" s="6">
        <x:v>5.0</x:v>
      </x:c>
      <x:c r="D69" s="6">
        <x:v>5.0</x:v>
      </x:c>
      <x:c r="E69" s="6" t="str">
        <x:f>IFERROR(IF(VLOOKUP(D69,Giocatori!$A$4:$C$48,2,FALSE)&lt;&gt;"",VLOOKUP(D69,Giocatori!$A$4:$C$48,2,FALSE),"Giocatore "&amp;D69),"Giocatore "&amp;D69)</x:f>
        <x:v>La Marca Carlo</x:v>
      </x:c>
      <x:c r="F69" s="14">
        <x:v>16.0</x:v>
      </x:c>
      <x:c r="G69" s="14">
        <x:v>1.0</x:v>
      </x:c>
      <x:c r="H69" s="10">
        <x:v>0.0</x:v>
      </x:c>
      <x:c r="I69" s="6">
        <x:f t="shared" si="2"/>
        <x:v>9</x:v>
      </x:c>
      <x:c r="J69" s="10"/>
    </x:row>
    <x:row r="70" ht="13.5" customHeight="1">
      <x:c r="A70" s="6">
        <x:v>2.0</x:v>
      </x:c>
      <x:c r="B70" s="6" t="s">
        <x:v>95</x:v>
      </x:c>
      <x:c r="C70" s="6">
        <x:v>1.0</x:v>
      </x:c>
      <x:c r="D70" s="6">
        <x:v>26.0</x:v>
      </x:c>
      <x:c r="E70" s="6" t="str">
        <x:f>IFERROR(IF(VLOOKUP(D70,Giocatori!$A$4:$C$48,2,FALSE)&lt;&gt;"",VLOOKUP(D70,Giocatori!$A$4:$C$48,2,FALSE),"Giocatore "&amp;D70),"Giocatore "&amp;D70)</x:f>
        <x:v>La Marca Franco</x:v>
      </x:c>
      <x:c r="F70" s="14">
        <x:v>28.0</x:v>
      </x:c>
      <x:c r="G70" s="14">
        <x:v>2.0</x:v>
      </x:c>
      <x:c r="H70" s="10">
        <x:v>0.0</x:v>
      </x:c>
      <x:c r="I70" s="6">
        <x:f t="shared" si="2"/>
        <x:v>6</x:v>
      </x:c>
      <x:c r="J70" s="10"/>
    </x:row>
    <x:row r="71" ht="13.5" customHeight="1">
      <x:c r="A71" s="6">
        <x:v>2.0</x:v>
      </x:c>
      <x:c r="B71" s="6" t="s">
        <x:v>95</x:v>
      </x:c>
      <x:c r="C71" s="6">
        <x:v>2.0</x:v>
      </x:c>
      <x:c r="D71" s="6">
        <x:v>22.0</x:v>
      </x:c>
      <x:c r="E71" s="6" t="str">
        <x:f>IFERROR(IF(VLOOKUP(D71,Giocatori!$A$4:$C$48,2,FALSE)&lt;&gt;"",VLOOKUP(D71,Giocatori!$A$4:$C$48,2,FALSE),"Giocatore "&amp;D71),"Giocatore "&amp;D71)</x:f>
        <x:v>Michele Zappone</x:v>
      </x:c>
      <x:c r="F71" s="14">
        <x:v>27.0</x:v>
      </x:c>
      <x:c r="G71" s="14">
        <x:v>1.0</x:v>
      </x:c>
      <x:c r="H71" s="10">
        <x:v>0.0</x:v>
      </x:c>
      <x:c r="I71" s="6">
        <x:f t="shared" si="2"/>
        <x:v>9</x:v>
      </x:c>
      <x:c r="J71" s="10"/>
    </x:row>
    <x:row r="72" ht="13.5" customHeight="1">
      <x:c r="A72" s="6">
        <x:v>2.0</x:v>
      </x:c>
      <x:c r="B72" s="6" t="s">
        <x:v>95</x:v>
      </x:c>
      <x:c r="C72" s="6">
        <x:v>3.0</x:v>
      </x:c>
      <x:c r="D72" s="6">
        <x:v>18.0</x:v>
      </x:c>
      <x:c r="E72" s="6" t="str">
        <x:f>IFERROR(IF(VLOOKUP(D72,Giocatori!$A$4:$C$48,2,FALSE)&lt;&gt;"",VLOOKUP(D72,Giocatori!$A$4:$C$48,2,FALSE),"Giocatore "&amp;D72),"Giocatore "&amp;D72)</x:f>
        <x:v>Cafarelli Manolo</x:v>
      </x:c>
      <x:c r="F72" s="14">
        <x:v>90.0</x:v>
      </x:c>
      <x:c r="G72" s="14">
        <x:v>5.0</x:v>
      </x:c>
      <x:c r="H72" s="10">
        <x:v>0.0</x:v>
      </x:c>
      <x:c r="I72" s="6">
        <x:f t="shared" si="2"/>
        <x:v>1</x:v>
      </x:c>
      <x:c r="J72" s="10"/>
    </x:row>
    <x:row r="73" ht="13.5" customHeight="1">
      <x:c r="A73" s="6">
        <x:v>2.0</x:v>
      </x:c>
      <x:c r="B73" s="6" t="s">
        <x:v>95</x:v>
      </x:c>
      <x:c r="C73" s="6">
        <x:v>4.0</x:v>
      </x:c>
      <x:c r="D73" s="6">
        <x:v>14.0</x:v>
      </x:c>
      <x:c r="E73" s="6" t="str">
        <x:f>IFERROR(IF(VLOOKUP(D73,Giocatori!$A$4:$C$48,2,FALSE)&lt;&gt;"",VLOOKUP(D73,Giocatori!$A$4:$C$48,2,FALSE),"Giocatore "&amp;D73),"Giocatore "&amp;D73)</x:f>
        <x:v>Botta Francesco</x:v>
      </x:c>
      <x:c r="F73" s="14">
        <x:v>75.0</x:v>
      </x:c>
      <x:c r="G73" s="14">
        <x:v>4.0</x:v>
      </x:c>
      <x:c r="H73" s="10">
        <x:v>0.0</x:v>
      </x:c>
      <x:c r="I73" s="6">
        <x:f t="shared" si="2"/>
        <x:v>2</x:v>
      </x:c>
      <x:c r="J73" s="10"/>
    </x:row>
    <x:row r="74" ht="13.5" customHeight="1">
      <x:c r="A74" s="6">
        <x:v>2.0</x:v>
      </x:c>
      <x:c r="B74" s="6" t="s">
        <x:v>95</x:v>
      </x:c>
      <x:c r="C74" s="6">
        <x:v>5.0</x:v>
      </x:c>
      <x:c r="D74" s="6">
        <x:v>10.0</x:v>
      </x:c>
      <x:c r="E74" s="6" t="str">
        <x:f>IFERROR(IF(VLOOKUP(D74,Giocatori!$A$4:$C$48,2,FALSE)&lt;&gt;"",VLOOKUP(D74,Giocatori!$A$4:$C$48,2,FALSE),"Giocatore "&amp;D74),"Giocatore "&amp;D74)</x:f>
        <x:v>Caliendo Nunzio</x:v>
      </x:c>
      <x:c r="F74" s="14">
        <x:v>32.0</x:v>
      </x:c>
      <x:c r="G74" s="14">
        <x:v>3.0</x:v>
      </x:c>
      <x:c r="H74" s="10">
        <x:v>0.0</x:v>
      </x:c>
      <x:c r="I74" s="6">
        <x:f t="shared" si="2"/>
        <x:v>4</x:v>
      </x:c>
      <x:c r="J74" s="10"/>
    </x:row>
    <x:row r="75" ht="13.5" customHeight="1">
      <x:c r="A75" s="6">
        <x:v>2.0</x:v>
      </x:c>
      <x:c r="B75" s="6" t="s">
        <x:v>96</x:v>
      </x:c>
      <x:c r="C75" s="6">
        <x:v>1.0</x:v>
      </x:c>
      <x:c r="D75" s="6">
        <x:v>31.0</x:v>
      </x:c>
      <x:c r="E75" s="6" t="str">
        <x:f>IFERROR(IF(VLOOKUP(D75,Giocatori!$A$4:$C$48,2,FALSE)&lt;&gt;"",VLOOKUP(D75,Giocatori!$A$4:$C$48,2,FALSE),"Giocatore "&amp;D75),"Giocatore "&amp;D75)</x:f>
        <x:v>Anna Angiero</x:v>
      </x:c>
      <x:c r="F75" s="14">
        <x:v>61.0</x:v>
      </x:c>
      <x:c r="G75" s="14">
        <x:v>3.0</x:v>
      </x:c>
      <x:c r="H75" s="10">
        <x:v>0.0</x:v>
      </x:c>
      <x:c r="I75" s="6">
        <x:f t="shared" si="2"/>
        <x:v>4</x:v>
      </x:c>
      <x:c r="J75" s="10"/>
    </x:row>
    <x:row r="76" ht="13.5" customHeight="1">
      <x:c r="A76" s="6">
        <x:v>2.0</x:v>
      </x:c>
      <x:c r="B76" s="6" t="s">
        <x:v>96</x:v>
      </x:c>
      <x:c r="C76" s="6">
        <x:v>2.0</x:v>
      </x:c>
      <x:c r="D76" s="6">
        <x:v>27.0</x:v>
      </x:c>
      <x:c r="E76" s="6" t="str">
        <x:f>IFERROR(IF(VLOOKUP(D76,Giocatori!$A$4:$C$48,2,FALSE)&lt;&gt;"",VLOOKUP(D76,Giocatori!$A$4:$C$48,2,FALSE),"Giocatore "&amp;D76),"Giocatore "&amp;D76)</x:f>
        <x:v>Tufano Michele</x:v>
      </x:c>
      <x:c r="F76" s="14">
        <x:v>64.0</x:v>
      </x:c>
      <x:c r="G76" s="14">
        <x:v>4.0</x:v>
      </x:c>
      <x:c r="H76" s="10">
        <x:v>0.0</x:v>
      </x:c>
      <x:c r="I76" s="6">
        <x:f t="shared" si="2"/>
        <x:v>2</x:v>
      </x:c>
      <x:c r="J76" s="10"/>
    </x:row>
    <x:row r="77" ht="13.5" customHeight="1">
      <x:c r="A77" s="6">
        <x:v>2.0</x:v>
      </x:c>
      <x:c r="B77" s="6" t="s">
        <x:v>96</x:v>
      </x:c>
      <x:c r="C77" s="6">
        <x:v>3.0</x:v>
      </x:c>
      <x:c r="D77" s="6">
        <x:v>23.0</x:v>
      </x:c>
      <x:c r="E77" s="6" t="str">
        <x:f>IFERROR(IF(VLOOKUP(D77,Giocatori!$A$4:$C$48,2,FALSE)&lt;&gt;"",VLOOKUP(D77,Giocatori!$A$4:$C$48,2,FALSE),"Giocatore "&amp;D77),"Giocatore "&amp;D77)</x:f>
        <x:v>Amato Alessandro</x:v>
      </x:c>
      <x:c r="F77" s="14">
        <x:v>51.0</x:v>
      </x:c>
      <x:c r="G77" s="14">
        <x:v>1.0</x:v>
      </x:c>
      <x:c r="H77" s="10">
        <x:v>0.0</x:v>
      </x:c>
      <x:c r="I77" s="6">
        <x:f t="shared" si="2"/>
        <x:v>9</x:v>
      </x:c>
      <x:c r="J77" s="10"/>
    </x:row>
    <x:row r="78" ht="13.5" customHeight="1">
      <x:c r="A78" s="6">
        <x:v>2.0</x:v>
      </x:c>
      <x:c r="B78" s="6" t="s">
        <x:v>96</x:v>
      </x:c>
      <x:c r="C78" s="6">
        <x:v>4.0</x:v>
      </x:c>
      <x:c r="D78" s="6">
        <x:v>19.0</x:v>
      </x:c>
      <x:c r="E78" s="6" t="str">
        <x:f>IFERROR(IF(VLOOKUP(D78,Giocatori!$A$4:$C$48,2,FALSE)&lt;&gt;"",VLOOKUP(D78,Giocatori!$A$4:$C$48,2,FALSE),"Giocatore "&amp;D78),"Giocatore "&amp;D78)</x:f>
        <x:v>Fuschillo Franco</x:v>
      </x:c>
      <x:c r="F78" s="14">
        <x:v>51.0</x:v>
      </x:c>
      <x:c r="G78" s="14">
        <x:v>2.0</x:v>
      </x:c>
      <x:c r="H78" s="14">
        <x:v>1.5</x:v>
      </x:c>
      <x:c r="I78" s="6">
        <x:f t="shared" si="2"/>
        <x:v>9</x:v>
      </x:c>
      <x:c r="J78" s="14" t="s">
        <x:v>98</x:v>
      </x:c>
    </x:row>
    <x:row r="79" ht="13.5" customHeight="1">
      <x:c r="A79" s="6">
        <x:v>2.0</x:v>
      </x:c>
      <x:c r="B79" s="6" t="s">
        <x:v>96</x:v>
      </x:c>
      <x:c r="C79" s="6">
        <x:v>5.0</x:v>
      </x:c>
      <x:c r="D79" s="6">
        <x:v>15.0</x:v>
      </x:c>
      <x:c r="E79" s="6" t="str">
        <x:f>IFERROR(IF(VLOOKUP(D79,Giocatori!$A$4:$C$48,2,FALSE)&lt;&gt;"",VLOOKUP(D79,Giocatori!$A$4:$C$48,2,FALSE),"Giocatore "&amp;D79),"Giocatore "&amp;D79)</x:f>
        <x:v>Tufano Antonio</x:v>
      </x:c>
      <x:c r="F79" s="14">
        <x:v>88.0</x:v>
      </x:c>
      <x:c r="G79" s="14">
        <x:v>5.0</x:v>
      </x:c>
      <x:c r="H79" s="10">
        <x:v>0.0</x:v>
      </x:c>
      <x:c r="I79" s="6">
        <x:f t="shared" si="2"/>
        <x:v>1</x:v>
      </x:c>
      <x:c r="J79" s="10"/>
    </x:row>
    <x:row r="80" ht="13.5" customHeight="1">
      <x:c r="A80" s="6">
        <x:v>2.0</x:v>
      </x:c>
      <x:c r="B80" s="6" t="s">
        <x:v>99</x:v>
      </x:c>
      <x:c r="C80" s="6">
        <x:v>1.0</x:v>
      </x:c>
      <x:c r="D80" s="6">
        <x:v>36.0</x:v>
      </x:c>
      <x:c r="E80" s="6" t="str">
        <x:f>IFERROR(IF(VLOOKUP(D80,Giocatori!$A$4:$C$48,2,FALSE)&lt;&gt;"",VLOOKUP(D80,Giocatori!$A$4:$C$48,2,FALSE),"Giocatore "&amp;D80),"Giocatore "&amp;D80)</x:f>
        <x:v>Perretta Maurizio</x:v>
      </x:c>
      <x:c r="F80" s="14">
        <x:v>66.0</x:v>
      </x:c>
      <x:c r="G80" s="14">
        <x:v>4.0</x:v>
      </x:c>
      <x:c r="H80" s="10">
        <x:v>0.0</x:v>
      </x:c>
      <x:c r="I80" s="6">
        <x:f t="shared" si="2"/>
        <x:v>2</x:v>
      </x:c>
      <x:c r="J80" s="10"/>
    </x:row>
    <x:row r="81" ht="13.5" customHeight="1">
      <x:c r="A81" s="6">
        <x:v>2.0</x:v>
      </x:c>
      <x:c r="B81" s="6" t="s">
        <x:v>99</x:v>
      </x:c>
      <x:c r="C81" s="6">
        <x:v>2.0</x:v>
      </x:c>
      <x:c r="D81" s="6">
        <x:v>32.0</x:v>
      </x:c>
      <x:c r="E81" s="6" t="str">
        <x:f>IFERROR(IF(VLOOKUP(D81,Giocatori!$A$4:$C$48,2,FALSE)&lt;&gt;"",VLOOKUP(D81,Giocatori!$A$4:$C$48,2,FALSE),"Giocatore "&amp;D81),"Giocatore "&amp;D81)</x:f>
        <x:v>Notaro Giacomo</x:v>
      </x:c>
      <x:c r="F81" s="14">
        <x:v>43.0</x:v>
      </x:c>
      <x:c r="G81" s="14">
        <x:v>3.0</x:v>
      </x:c>
      <x:c r="H81" s="10">
        <x:v>0.0</x:v>
      </x:c>
      <x:c r="I81" s="6">
        <x:f t="shared" si="2"/>
        <x:v>4</x:v>
      </x:c>
      <x:c r="J81" s="10"/>
    </x:row>
    <x:row r="82" ht="13.5" customHeight="1">
      <x:c r="A82" s="6">
        <x:v>2.0</x:v>
      </x:c>
      <x:c r="B82" s="6" t="s">
        <x:v>99</x:v>
      </x:c>
      <x:c r="C82" s="6">
        <x:v>3.0</x:v>
      </x:c>
      <x:c r="D82" s="6">
        <x:v>28.0</x:v>
      </x:c>
      <x:c r="E82" s="6" t="str">
        <x:f>IFERROR(IF(VLOOKUP(D82,Giocatori!$A$4:$C$48,2,FALSE)&lt;&gt;"",VLOOKUP(D82,Giocatori!$A$4:$C$48,2,FALSE),"Giocatore "&amp;D82),"Giocatore "&amp;D82)</x:f>
        <x:v>Ambrosino Raffaele</x:v>
      </x:c>
      <x:c r="F82" s="14">
        <x:v>19.0</x:v>
      </x:c>
      <x:c r="G82" s="14">
        <x:v>2.0</x:v>
      </x:c>
      <x:c r="H82" s="10">
        <x:v>0.0</x:v>
      </x:c>
      <x:c r="I82" s="6">
        <x:f t="shared" si="2"/>
        <x:v>6</x:v>
      </x:c>
      <x:c r="J82" s="10"/>
    </x:row>
    <x:row r="83" ht="13.5" customHeight="1">
      <x:c r="A83" s="6">
        <x:v>2.0</x:v>
      </x:c>
      <x:c r="B83" s="6" t="s">
        <x:v>99</x:v>
      </x:c>
      <x:c r="C83" s="6">
        <x:v>4.0</x:v>
      </x:c>
      <x:c r="D83" s="6">
        <x:v>24.0</x:v>
      </x:c>
      <x:c r="E83" s="6" t="str">
        <x:f>IFERROR(IF(VLOOKUP(D83,Giocatori!$A$4:$C$48,2,FALSE)&lt;&gt;"",VLOOKUP(D83,Giocatori!$A$4:$C$48,2,FALSE),"Giocatore "&amp;D83),"Giocatore "&amp;D83)</x:f>
        <x:v>Napolitano Pasquale</x:v>
      </x:c>
      <x:c r="F83" s="14">
        <x:v>15.0</x:v>
      </x:c>
      <x:c r="G83" s="14">
        <x:v>1.0</x:v>
      </x:c>
      <x:c r="H83" s="10">
        <x:v>0.0</x:v>
      </x:c>
      <x:c r="I83" s="6">
        <x:f t="shared" si="2"/>
        <x:v>9</x:v>
      </x:c>
      <x:c r="J83" s="10"/>
    </x:row>
    <x:row r="84" ht="13.5" customHeight="1">
      <x:c r="A84" s="6">
        <x:v>2.0</x:v>
      </x:c>
      <x:c r="B84" s="6" t="s">
        <x:v>99</x:v>
      </x:c>
      <x:c r="C84" s="6">
        <x:v>5.0</x:v>
      </x:c>
      <x:c r="D84" s="6">
        <x:v>20.0</x:v>
      </x:c>
      <x:c r="E84" s="6" t="str">
        <x:f>IFERROR(IF(VLOOKUP(D84,Giocatori!$A$4:$C$48,2,FALSE)&lt;&gt;"",VLOOKUP(D84,Giocatori!$A$4:$C$48,2,FALSE),"Giocatore "&amp;D84),"Giocatore "&amp;D84)</x:f>
        <x:v>Di Grazia Salvatore</x:v>
      </x:c>
      <x:c r="F84" s="14">
        <x:v>87.0</x:v>
      </x:c>
      <x:c r="G84" s="14">
        <x:v>5.0</x:v>
      </x:c>
      <x:c r="H84" s="10">
        <x:v>0.0</x:v>
      </x:c>
      <x:c r="I84" s="6">
        <x:f t="shared" si="2"/>
        <x:v>1</x:v>
      </x:c>
      <x:c r="J84" s="10"/>
    </x:row>
    <x:row r="85" ht="13.5" customHeight="1">
      <x:c r="A85" s="6">
        <x:v>3.0</x:v>
      </x:c>
      <x:c r="B85" s="6" t="s">
        <x:v>90</x:v>
      </x:c>
      <x:c r="C85" s="6">
        <x:v>1.0</x:v>
      </x:c>
      <x:c r="D85" s="6">
        <x:v>1.0</x:v>
      </x:c>
      <x:c r="E85" s="6" t="str">
        <x:f>IFERROR(IF(VLOOKUP(D85,Giocatori!$A$4:$C$48,2,FALSE)&lt;&gt;"",VLOOKUP(D85,Giocatori!$A$4:$C$48,2,FALSE),"Giocatore "&amp;D85),"Giocatore "&amp;D85)</x:f>
        <x:v>Zio Raffaele</x:v>
      </x:c>
      <x:c r="F85" s="14">
        <x:v>74.0</x:v>
      </x:c>
      <x:c r="G85" s="14">
        <x:v>4.0</x:v>
      </x:c>
      <x:c r="H85" s="10">
        <x:v>0.0</x:v>
      </x:c>
      <x:c r="I85" s="6">
        <x:f t="shared" si="2"/>
        <x:v>2</x:v>
      </x:c>
      <x:c r="J85" s="10"/>
    </x:row>
    <x:row r="86" ht="13.5" customHeight="1">
      <x:c r="A86" s="6">
        <x:v>3.0</x:v>
      </x:c>
      <x:c r="B86" s="6" t="s">
        <x:v>90</x:v>
      </x:c>
      <x:c r="C86" s="6">
        <x:v>2.0</x:v>
      </x:c>
      <x:c r="D86" s="6">
        <x:v>7.0</x:v>
      </x:c>
      <x:c r="E86" s="6" t="str">
        <x:f>IFERROR(IF(VLOOKUP(D86,Giocatori!$A$4:$C$48,2,FALSE)&lt;&gt;"",VLOOKUP(D86,Giocatori!$A$4:$C$48,2,FALSE),"Giocatore "&amp;D86),"Giocatore "&amp;D86)</x:f>
        <x:v>Notaro massimo</x:v>
      </x:c>
      <x:c r="F86" s="14">
        <x:v>66.0</x:v>
      </x:c>
      <x:c r="G86" s="14">
        <x:v>3.0</x:v>
      </x:c>
      <x:c r="H86" s="10">
        <x:v>0.0</x:v>
      </x:c>
      <x:c r="I86" s="6">
        <x:f t="shared" si="2"/>
        <x:v>4</x:v>
      </x:c>
      <x:c r="J86" s="10"/>
    </x:row>
    <x:row r="87" ht="13.5" customHeight="1">
      <x:c r="A87" s="6">
        <x:v>3.0</x:v>
      </x:c>
      <x:c r="B87" s="6" t="s">
        <x:v>90</x:v>
      </x:c>
      <x:c r="C87" s="6">
        <x:v>3.0</x:v>
      </x:c>
      <x:c r="D87" s="6">
        <x:v>13.0</x:v>
      </x:c>
      <x:c r="E87" s="6" t="str">
        <x:f>IFERROR(IF(VLOOKUP(D87,Giocatori!$A$4:$C$48,2,FALSE)&lt;&gt;"",VLOOKUP(D87,Giocatori!$A$4:$C$48,2,FALSE),"Giocatore "&amp;D87),"Giocatore "&amp;D87)</x:f>
        <x:v>Corbo Alessandro</x:v>
      </x:c>
      <x:c r="F87" s="14">
        <x:v>88.0</x:v>
      </x:c>
      <x:c r="G87" s="14">
        <x:v>5.0</x:v>
      </x:c>
      <x:c r="H87" s="10">
        <x:v>0.0</x:v>
      </x:c>
      <x:c r="I87" s="6">
        <x:f t="shared" si="2"/>
        <x:v>1</x:v>
      </x:c>
      <x:c r="J87" s="10"/>
    </x:row>
    <x:row r="88" ht="13.5" customHeight="1">
      <x:c r="A88" s="6">
        <x:v>3.0</x:v>
      </x:c>
      <x:c r="B88" s="6" t="s">
        <x:v>90</x:v>
      </x:c>
      <x:c r="C88" s="6">
        <x:v>4.0</x:v>
      </x:c>
      <x:c r="D88" s="6">
        <x:v>19.0</x:v>
      </x:c>
      <x:c r="E88" s="6" t="str">
        <x:f>IFERROR(IF(VLOOKUP(D88,Giocatori!$A$4:$C$48,2,FALSE)&lt;&gt;"",VLOOKUP(D88,Giocatori!$A$4:$C$48,2,FALSE),"Giocatore "&amp;D88),"Giocatore "&amp;D88)</x:f>
        <x:v>Fuschillo Franco</x:v>
      </x:c>
      <x:c r="F88" s="14">
        <x:v>62.0</x:v>
      </x:c>
      <x:c r="G88" s="14">
        <x:v>2.0</x:v>
      </x:c>
      <x:c r="H88" s="10">
        <x:v>0.0</x:v>
      </x:c>
      <x:c r="I88" s="6">
        <x:f t="shared" si="2"/>
        <x:v>6</x:v>
      </x:c>
      <x:c r="J88" s="10"/>
    </x:row>
    <x:row r="89" ht="13.5" customHeight="1">
      <x:c r="A89" s="6">
        <x:v>3.0</x:v>
      </x:c>
      <x:c r="B89" s="6" t="s">
        <x:v>90</x:v>
      </x:c>
      <x:c r="C89" s="6">
        <x:v>5.0</x:v>
      </x:c>
      <x:c r="D89" s="6">
        <x:v>30.0</x:v>
      </x:c>
      <x:c r="E89" s="6" t="str">
        <x:f>IFERROR(IF(VLOOKUP(D89,Giocatori!$A$4:$C$48,2,FALSE)&lt;&gt;"",VLOOKUP(D89,Giocatori!$A$4:$C$48,2,FALSE),"Giocatore "&amp;D89),"Giocatore "&amp;D89)</x:f>
        <x:v>Mauro Raffaele</x:v>
      </x:c>
      <x:c r="F89" s="14">
        <x:v>48.0</x:v>
      </x:c>
      <x:c r="G89" s="14">
        <x:v>1.0</x:v>
      </x:c>
      <x:c r="H89" s="10">
        <x:v>0.0</x:v>
      </x:c>
      <x:c r="I89" s="6">
        <x:f t="shared" si="2"/>
        <x:v>9</x:v>
      </x:c>
      <x:c r="J89" s="10"/>
    </x:row>
    <x:row r="90" ht="13.5" customHeight="1">
      <x:c r="A90" s="6">
        <x:v>3.0</x:v>
      </x:c>
      <x:c r="B90" s="6" t="s">
        <x:v>91</x:v>
      </x:c>
      <x:c r="C90" s="6">
        <x:v>1.0</x:v>
      </x:c>
      <x:c r="D90" s="6">
        <x:v>6.0</x:v>
      </x:c>
      <x:c r="E90" s="6" t="str">
        <x:f>IFERROR(IF(VLOOKUP(D90,Giocatori!$A$4:$C$48,2,FALSE)&lt;&gt;"",VLOOKUP(D90,Giocatori!$A$4:$C$48,2,FALSE),"Giocatore "&amp;D90),"Giocatore "&amp;D90)</x:f>
        <x:v>Sommese Antonio</x:v>
      </x:c>
      <x:c r="F90" s="14">
        <x:v>52.0</x:v>
      </x:c>
      <x:c r="G90" s="14">
        <x:v>2.0</x:v>
      </x:c>
      <x:c r="H90" s="10">
        <x:v>0.0</x:v>
      </x:c>
      <x:c r="I90" s="6">
        <x:f t="shared" si="2"/>
        <x:v>6</x:v>
      </x:c>
      <x:c r="J90" s="10"/>
    </x:row>
    <x:row r="91" ht="13.5" customHeight="1">
      <x:c r="A91" s="6">
        <x:v>3.0</x:v>
      </x:c>
      <x:c r="B91" s="6" t="s">
        <x:v>91</x:v>
      </x:c>
      <x:c r="C91" s="6">
        <x:v>2.0</x:v>
      </x:c>
      <x:c r="D91" s="6">
        <x:v>12.0</x:v>
      </x:c>
      <x:c r="E91" s="6" t="str">
        <x:f>IFERROR(IF(VLOOKUP(D91,Giocatori!$A$4:$C$48,2,FALSE)&lt;&gt;"",VLOOKUP(D91,Giocatori!$A$4:$C$48,2,FALSE),"Giocatore "&amp;D91),"Giocatore "&amp;D91)</x:f>
        <x:v>De Falco Andrea</x:v>
      </x:c>
      <x:c r="F91" s="14">
        <x:v>38.0</x:v>
      </x:c>
      <x:c r="G91" s="14">
        <x:v>1.0</x:v>
      </x:c>
      <x:c r="H91" s="10">
        <x:v>0.0</x:v>
      </x:c>
      <x:c r="I91" s="6">
        <x:f t="shared" si="2"/>
        <x:v>9</x:v>
      </x:c>
      <x:c r="J91" s="10"/>
    </x:row>
    <x:row r="92" ht="13.5" customHeight="1">
      <x:c r="A92" s="6">
        <x:v>3.0</x:v>
      </x:c>
      <x:c r="B92" s="6" t="s">
        <x:v>91</x:v>
      </x:c>
      <x:c r="C92" s="6">
        <x:v>3.0</x:v>
      </x:c>
      <x:c r="D92" s="6">
        <x:v>18.0</x:v>
      </x:c>
      <x:c r="E92" s="6" t="str">
        <x:f>IFERROR(IF(VLOOKUP(D92,Giocatori!$A$4:$C$48,2,FALSE)&lt;&gt;"",VLOOKUP(D92,Giocatori!$A$4:$C$48,2,FALSE),"Giocatore "&amp;D92),"Giocatore "&amp;D92)</x:f>
        <x:v>Cafarelli Manolo</x:v>
      </x:c>
      <x:c r="F92" s="14">
        <x:v>81.0</x:v>
      </x:c>
      <x:c r="G92" s="14">
        <x:v>5.0</x:v>
      </x:c>
      <x:c r="H92" s="10">
        <x:v>0.0</x:v>
      </x:c>
      <x:c r="I92" s="6">
        <x:f t="shared" si="2"/>
        <x:v>1</x:v>
      </x:c>
      <x:c r="J92" s="10"/>
    </x:row>
    <x:row r="93" ht="13.5" customHeight="1">
      <x:c r="A93" s="6">
        <x:v>3.0</x:v>
      </x:c>
      <x:c r="B93" s="6" t="s">
        <x:v>91</x:v>
      </x:c>
      <x:c r="C93" s="6">
        <x:v>4.0</x:v>
      </x:c>
      <x:c r="D93" s="6">
        <x:v>24.0</x:v>
      </x:c>
      <x:c r="E93" s="6" t="str">
        <x:f>IFERROR(IF(VLOOKUP(D93,Giocatori!$A$4:$C$48,2,FALSE)&lt;&gt;"",VLOOKUP(D93,Giocatori!$A$4:$C$48,2,FALSE),"Giocatore "&amp;D93),"Giocatore "&amp;D93)</x:f>
        <x:v>Napolitano Pasquale</x:v>
      </x:c>
      <x:c r="F93" s="14">
        <x:v>61.0</x:v>
      </x:c>
      <x:c r="G93" s="14">
        <x:v>3.0</x:v>
      </x:c>
      <x:c r="H93" s="10">
        <x:v>0.0</x:v>
      </x:c>
      <x:c r="I93" s="6">
        <x:f t="shared" si="2"/>
        <x:v>4</x:v>
      </x:c>
      <x:c r="J93" s="10"/>
    </x:row>
    <x:row r="94" ht="13.5" customHeight="1">
      <x:c r="A94" s="6">
        <x:v>3.0</x:v>
      </x:c>
      <x:c r="B94" s="6" t="s">
        <x:v>91</x:v>
      </x:c>
      <x:c r="C94" s="6">
        <x:v>5.0</x:v>
      </x:c>
      <x:c r="D94" s="6">
        <x:v>35.0</x:v>
      </x:c>
      <x:c r="E94" s="6" t="str">
        <x:f>IFERROR(IF(VLOOKUP(D94,Giocatori!$A$4:$C$48,2,FALSE)&lt;&gt;"",VLOOKUP(D94,Giocatori!$A$4:$C$48,2,FALSE),"Giocatore "&amp;D94),"Giocatore "&amp;D94)</x:f>
        <x:v>Napolitano Raffaele</x:v>
      </x:c>
      <x:c r="F94" s="14">
        <x:v>71.0</x:v>
      </x:c>
      <x:c r="G94" s="14">
        <x:v>4.0</x:v>
      </x:c>
      <x:c r="H94" s="10">
        <x:v>0.0</x:v>
      </x:c>
      <x:c r="I94" s="6">
        <x:f t="shared" si="2"/>
        <x:v>2</x:v>
      </x:c>
      <x:c r="J94" s="10"/>
    </x:row>
    <x:row r="95" ht="13.5" customHeight="1">
      <x:c r="A95" s="6">
        <x:v>3.0</x:v>
      </x:c>
      <x:c r="B95" s="6" t="s">
        <x:v>92</x:v>
      </x:c>
      <x:c r="C95" s="6">
        <x:v>1.0</x:v>
      </x:c>
      <x:c r="D95" s="6">
        <x:v>11.0</x:v>
      </x:c>
      <x:c r="E95" s="6" t="str">
        <x:f>IFERROR(IF(VLOOKUP(D95,Giocatori!$A$4:$C$48,2,FALSE)&lt;&gt;"",VLOOKUP(D95,Giocatori!$A$4:$C$48,2,FALSE),"Giocatore "&amp;D95),"Giocatore "&amp;D95)</x:f>
        <x:v>Moccia Biagio</x:v>
      </x:c>
      <x:c r="F95" s="14">
        <x:v>31.0</x:v>
      </x:c>
      <x:c r="G95" s="14">
        <x:v>1.0</x:v>
      </x:c>
      <x:c r="H95" s="10">
        <x:v>0.0</x:v>
      </x:c>
      <x:c r="I95" s="6">
        <x:f t="shared" si="2"/>
        <x:v>9</x:v>
      </x:c>
      <x:c r="J95" s="10"/>
    </x:row>
    <x:row r="96" ht="13.5" customHeight="1">
      <x:c r="A96" s="6">
        <x:v>3.0</x:v>
      </x:c>
      <x:c r="B96" s="6" t="s">
        <x:v>92</x:v>
      </x:c>
      <x:c r="C96" s="6">
        <x:v>2.0</x:v>
      </x:c>
      <x:c r="D96" s="6">
        <x:v>17.0</x:v>
      </x:c>
      <x:c r="E96" s="6" t="str">
        <x:f>IFERROR(IF(VLOOKUP(D96,Giocatori!$A$4:$C$48,2,FALSE)&lt;&gt;"",VLOOKUP(D96,Giocatori!$A$4:$C$48,2,FALSE),"Giocatore "&amp;D96),"Giocatore "&amp;D96)</x:f>
        <x:v>Scogliamiglio Alfredo</x:v>
      </x:c>
      <x:c r="F96" s="14">
        <x:v>82.0</x:v>
      </x:c>
      <x:c r="G96" s="14">
        <x:v>5.0</x:v>
      </x:c>
      <x:c r="H96" s="10">
        <x:v>0.0</x:v>
      </x:c>
      <x:c r="I96" s="6">
        <x:f t="shared" si="2"/>
        <x:v>1</x:v>
      </x:c>
      <x:c r="J96" s="10"/>
    </x:row>
    <x:row r="97" ht="13.5" customHeight="1">
      <x:c r="A97" s="6">
        <x:v>3.0</x:v>
      </x:c>
      <x:c r="B97" s="6" t="s">
        <x:v>92</x:v>
      </x:c>
      <x:c r="C97" s="6">
        <x:v>3.0</x:v>
      </x:c>
      <x:c r="D97" s="6">
        <x:v>23.0</x:v>
      </x:c>
      <x:c r="E97" s="6" t="str">
        <x:f>IFERROR(IF(VLOOKUP(D97,Giocatori!$A$4:$C$48,2,FALSE)&lt;&gt;"",VLOOKUP(D97,Giocatori!$A$4:$C$48,2,FALSE),"Giocatore "&amp;D97),"Giocatore "&amp;D97)</x:f>
        <x:v>Amato Alessandro</x:v>
      </x:c>
      <x:c r="F97" s="14">
        <x:v>62.0</x:v>
      </x:c>
      <x:c r="G97" s="14">
        <x:v>3.0</x:v>
      </x:c>
      <x:c r="H97" s="10">
        <x:v>0.0</x:v>
      </x:c>
      <x:c r="I97" s="6">
        <x:f t="shared" si="2"/>
        <x:v>4</x:v>
      </x:c>
      <x:c r="J97" s="10"/>
    </x:row>
    <x:row r="98" ht="13.5" customHeight="1">
      <x:c r="A98" s="6">
        <x:v>3.0</x:v>
      </x:c>
      <x:c r="B98" s="6" t="s">
        <x:v>92</x:v>
      </x:c>
      <x:c r="C98" s="6">
        <x:v>4.0</x:v>
      </x:c>
      <x:c r="D98" s="6">
        <x:v>29.0</x:v>
      </x:c>
      <x:c r="E98" s="6" t="str">
        <x:f>IFERROR(IF(VLOOKUP(D98,Giocatori!$A$4:$C$48,2,FALSE)&lt;&gt;"",VLOOKUP(D98,Giocatori!$A$4:$C$48,2,FALSE),"Giocatore "&amp;D98),"Giocatore "&amp;D98)</x:f>
        <x:v>Tufano Giovanni</x:v>
      </x:c>
      <x:c r="F98" s="14">
        <x:v>50.0</x:v>
      </x:c>
      <x:c r="G98" s="14">
        <x:v>2.0</x:v>
      </x:c>
      <x:c r="H98" s="14">
        <x:v>1.0</x:v>
      </x:c>
      <x:c r="I98" s="6">
        <x:f t="shared" si="2"/>
        <x:v>8</x:v>
      </x:c>
      <x:c r="J98" s="10"/>
    </x:row>
    <x:row r="99" ht="13.5" customHeight="1">
      <x:c r="A99" s="6">
        <x:v>3.0</x:v>
      </x:c>
      <x:c r="B99" s="6" t="s">
        <x:v>92</x:v>
      </x:c>
      <x:c r="C99" s="6">
        <x:v>5.0</x:v>
      </x:c>
      <x:c r="D99" s="6">
        <x:v>40.0</x:v>
      </x:c>
      <x:c r="E99" s="6" t="str">
        <x:f>IFERROR(IF(VLOOKUP(D99,Giocatori!$A$4:$C$48,2,FALSE)&lt;&gt;"",VLOOKUP(D99,Giocatori!$A$4:$C$48,2,FALSE),"Giocatore "&amp;D99),"Giocatore "&amp;D99)</x:f>
        <x:v>Ambrosino Michele</x:v>
      </x:c>
      <x:c r="F99" s="14">
        <x:v>71.0</x:v>
      </x:c>
      <x:c r="G99" s="14">
        <x:v>4.0</x:v>
      </x:c>
      <x:c r="H99" s="10">
        <x:v>0.0</x:v>
      </x:c>
      <x:c r="I99" s="6">
        <x:f t="shared" si="2"/>
        <x:v>2</x:v>
      </x:c>
      <x:c r="J99" s="10"/>
    </x:row>
    <x:row r="100" ht="13.5" customHeight="1">
      <x:c r="A100" s="6">
        <x:v>3.0</x:v>
      </x:c>
      <x:c r="B100" s="6" t="s">
        <x:v>93</x:v>
      </x:c>
      <x:c r="C100" s="6">
        <x:v>1.0</x:v>
      </x:c>
      <x:c r="D100" s="6">
        <x:v>16.0</x:v>
      </x:c>
      <x:c r="E100" s="6" t="str">
        <x:f>IFERROR(IF(VLOOKUP(D100,Giocatori!$A$4:$C$48,2,FALSE)&lt;&gt;"",VLOOKUP(D100,Giocatori!$A$4:$C$48,2,FALSE),"Giocatore "&amp;D100),"Giocatore "&amp;D100)</x:f>
        <x:v>Iorio Raffaele</x:v>
      </x:c>
      <x:c r="F100" s="14">
        <x:v>24.0</x:v>
      </x:c>
      <x:c r="G100" s="14">
        <x:v>2.0</x:v>
      </x:c>
      <x:c r="H100" s="10">
        <x:v>0.0</x:v>
      </x:c>
      <x:c r="I100" s="6">
        <x:f t="shared" si="2"/>
        <x:v>6</x:v>
      </x:c>
      <x:c r="J100" s="10"/>
    </x:row>
    <x:row r="101" ht="13.5" customHeight="1">
      <x:c r="A101" s="6">
        <x:v>3.0</x:v>
      </x:c>
      <x:c r="B101" s="6" t="s">
        <x:v>93</x:v>
      </x:c>
      <x:c r="C101" s="6">
        <x:v>2.0</x:v>
      </x:c>
      <x:c r="D101" s="6">
        <x:v>22.0</x:v>
      </x:c>
      <x:c r="E101" s="6" t="str">
        <x:f>IFERROR(IF(VLOOKUP(D101,Giocatori!$A$4:$C$48,2,FALSE)&lt;&gt;"",VLOOKUP(D101,Giocatori!$A$4:$C$48,2,FALSE),"Giocatore "&amp;D101),"Giocatore "&amp;D101)</x:f>
        <x:v>Michele Zappone</x:v>
      </x:c>
      <x:c r="F101" s="14">
        <x:v>81.0</x:v>
      </x:c>
      <x:c r="G101" s="14">
        <x:v>5.0</x:v>
      </x:c>
      <x:c r="H101" s="10">
        <x:v>0.0</x:v>
      </x:c>
      <x:c r="I101" s="6">
        <x:f t="shared" si="2"/>
        <x:v>1</x:v>
      </x:c>
      <x:c r="J101" s="10"/>
    </x:row>
    <x:row r="102" ht="13.5" customHeight="1">
      <x:c r="A102" s="6">
        <x:v>3.0</x:v>
      </x:c>
      <x:c r="B102" s="6" t="s">
        <x:v>93</x:v>
      </x:c>
      <x:c r="C102" s="6">
        <x:v>3.0</x:v>
      </x:c>
      <x:c r="D102" s="6">
        <x:v>28.0</x:v>
      </x:c>
      <x:c r="E102" s="6" t="str">
        <x:f>IFERROR(IF(VLOOKUP(D102,Giocatori!$A$4:$C$48,2,FALSE)&lt;&gt;"",VLOOKUP(D102,Giocatori!$A$4:$C$48,2,FALSE),"Giocatore "&amp;D102),"Giocatore "&amp;D102)</x:f>
        <x:v>Ambrosino Raffaele</x:v>
      </x:c>
      <x:c r="F102" s="14">
        <x:v>16.0</x:v>
      </x:c>
      <x:c r="G102" s="14">
        <x:v>1.0</x:v>
      </x:c>
      <x:c r="H102" s="10">
        <x:v>0.0</x:v>
      </x:c>
      <x:c r="I102" s="6">
        <x:f t="shared" si="2"/>
        <x:v>9</x:v>
      </x:c>
      <x:c r="J102" s="10"/>
    </x:row>
    <x:row r="103" ht="13.5" customHeight="1">
      <x:c r="A103" s="6">
        <x:v>3.0</x:v>
      </x:c>
      <x:c r="B103" s="6" t="s">
        <x:v>93</x:v>
      </x:c>
      <x:c r="C103" s="6">
        <x:v>4.0</x:v>
      </x:c>
      <x:c r="D103" s="6">
        <x:v>34.0</x:v>
      </x:c>
      <x:c r="E103" s="6" t="str">
        <x:f>IFERROR(IF(VLOOKUP(D103,Giocatori!$A$4:$C$48,2,FALSE)&lt;&gt;"",VLOOKUP(D103,Giocatori!$A$4:$C$48,2,FALSE),"Giocatore "&amp;D103),"Giocatore "&amp;D103)</x:f>
        <x:v>Pasquale Marotta</x:v>
      </x:c>
      <x:c r="F103" s="14">
        <x:v>54.0</x:v>
      </x:c>
      <x:c r="G103" s="14">
        <x:v>4.0</x:v>
      </x:c>
      <x:c r="H103" s="10">
        <x:v>0.0</x:v>
      </x:c>
      <x:c r="I103" s="6">
        <x:f t="shared" si="2"/>
        <x:v>2</x:v>
      </x:c>
      <x:c r="J103" s="10"/>
    </x:row>
    <x:row r="104" ht="13.5" customHeight="1">
      <x:c r="A104" s="6">
        <x:v>3.0</x:v>
      </x:c>
      <x:c r="B104" s="6" t="s">
        <x:v>93</x:v>
      </x:c>
      <x:c r="C104" s="6">
        <x:v>5.0</x:v>
      </x:c>
      <x:c r="D104" s="6">
        <x:v>5.0</x:v>
      </x:c>
      <x:c r="E104" s="6" t="str">
        <x:f>IFERROR(IF(VLOOKUP(D104,Giocatori!$A$4:$C$48,2,FALSE)&lt;&gt;"",VLOOKUP(D104,Giocatori!$A$4:$C$48,2,FALSE),"Giocatore "&amp;D104),"Giocatore "&amp;D104)</x:f>
        <x:v>La Marca Carlo</x:v>
      </x:c>
      <x:c r="F104" s="14">
        <x:v>35.0</x:v>
      </x:c>
      <x:c r="G104" s="14">
        <x:v>3.0</x:v>
      </x:c>
      <x:c r="H104" s="10">
        <x:v>0.0</x:v>
      </x:c>
      <x:c r="I104" s="6">
        <x:f t="shared" si="2"/>
        <x:v>4</x:v>
      </x:c>
      <x:c r="J104" s="10"/>
    </x:row>
    <x:row r="105" ht="13.5" customHeight="1">
      <x:c r="A105" s="6">
        <x:v>3.0</x:v>
      </x:c>
      <x:c r="B105" s="6" t="s">
        <x:v>94</x:v>
      </x:c>
      <x:c r="C105" s="6">
        <x:v>1.0</x:v>
      </x:c>
      <x:c r="D105" s="6">
        <x:v>21.0</x:v>
      </x:c>
      <x:c r="E105" s="6" t="str">
        <x:f>IFERROR(IF(VLOOKUP(D105,Giocatori!$A$4:$C$48,2,FALSE)&lt;&gt;"",VLOOKUP(D105,Giocatori!$A$4:$C$48,2,FALSE),"Giocatore "&amp;D105),"Giocatore "&amp;D105)</x:f>
        <x:v>Mauro Candice</x:v>
      </x:c>
      <x:c r="F105" s="14">
        <x:v>92.0</x:v>
      </x:c>
      <x:c r="G105" s="14">
        <x:v>5.0</x:v>
      </x:c>
      <x:c r="H105" s="10">
        <x:v>0.0</x:v>
      </x:c>
      <x:c r="I105" s="6">
        <x:f t="shared" si="2"/>
        <x:v>1</x:v>
      </x:c>
      <x:c r="J105" s="10"/>
    </x:row>
    <x:row r="106" ht="13.5" customHeight="1">
      <x:c r="A106" s="6">
        <x:v>3.0</x:v>
      </x:c>
      <x:c r="B106" s="6" t="s">
        <x:v>94</x:v>
      </x:c>
      <x:c r="C106" s="6">
        <x:v>2.0</x:v>
      </x:c>
      <x:c r="D106" s="6">
        <x:v>27.0</x:v>
      </x:c>
      <x:c r="E106" s="6" t="str">
        <x:f>IFERROR(IF(VLOOKUP(D106,Giocatori!$A$4:$C$48,2,FALSE)&lt;&gt;"",VLOOKUP(D106,Giocatori!$A$4:$C$48,2,FALSE),"Giocatore "&amp;D106),"Giocatore "&amp;D106)</x:f>
        <x:v>Tufano Michele</x:v>
      </x:c>
      <x:c r="F106" s="14">
        <x:v>52.0</x:v>
      </x:c>
      <x:c r="G106" s="14">
        <x:v>4.0</x:v>
      </x:c>
      <x:c r="H106" s="10">
        <x:v>0.0</x:v>
      </x:c>
      <x:c r="I106" s="6">
        <x:f t="shared" si="2"/>
        <x:v>2</x:v>
      </x:c>
      <x:c r="J106" s="10"/>
    </x:row>
    <x:row r="107" ht="13.5" customHeight="1">
      <x:c r="A107" s="6">
        <x:v>3.0</x:v>
      </x:c>
      <x:c r="B107" s="6" t="s">
        <x:v>94</x:v>
      </x:c>
      <x:c r="C107" s="6">
        <x:v>3.0</x:v>
      </x:c>
      <x:c r="D107" s="6">
        <x:v>33.0</x:v>
      </x:c>
      <x:c r="E107" s="6" t="str">
        <x:f>IFERROR(IF(VLOOKUP(D107,Giocatori!$A$4:$C$48,2,FALSE)&lt;&gt;"",VLOOKUP(D107,Giocatori!$A$4:$C$48,2,FALSE),"Giocatore "&amp;D107),"Giocatore "&amp;D107)</x:f>
        <x:v>Nappi Nestore</x:v>
      </x:c>
      <x:c r="F107" s="14">
        <x:v>47.0</x:v>
      </x:c>
      <x:c r="G107" s="14">
        <x:v>3.0</x:v>
      </x:c>
      <x:c r="H107" s="10">
        <x:v>0.0</x:v>
      </x:c>
      <x:c r="I107" s="6">
        <x:f t="shared" si="2"/>
        <x:v>4</x:v>
      </x:c>
      <x:c r="J107" s="10"/>
    </x:row>
    <x:row r="108" ht="13.5" customHeight="1">
      <x:c r="A108" s="6">
        <x:v>3.0</x:v>
      </x:c>
      <x:c r="B108" s="6" t="s">
        <x:v>94</x:v>
      </x:c>
      <x:c r="C108" s="6">
        <x:v>4.0</x:v>
      </x:c>
      <x:c r="D108" s="6">
        <x:v>39.0</x:v>
      </x:c>
      <x:c r="E108" s="6" t="str">
        <x:f>IFERROR(IF(VLOOKUP(D108,Giocatori!$A$4:$C$48,2,FALSE)&lt;&gt;"",VLOOKUP(D108,Giocatori!$A$4:$C$48,2,FALSE),"Giocatore "&amp;D108),"Giocatore "&amp;D108)</x:f>
        <x:v>La Marca Pasquale</x:v>
      </x:c>
      <x:c r="F108" s="14">
        <x:v>46.0</x:v>
      </x:c>
      <x:c r="G108" s="14">
        <x:v>2.0</x:v>
      </x:c>
      <x:c r="H108" s="10">
        <x:v>0.0</x:v>
      </x:c>
      <x:c r="I108" s="6">
        <x:f t="shared" si="2"/>
        <x:v>6</x:v>
      </x:c>
      <x:c r="J108" s="10"/>
    </x:row>
    <x:row r="109" ht="13.5" customHeight="1">
      <x:c r="A109" s="6">
        <x:v>3.0</x:v>
      </x:c>
      <x:c r="B109" s="6" t="s">
        <x:v>94</x:v>
      </x:c>
      <x:c r="C109" s="6">
        <x:v>5.0</x:v>
      </x:c>
      <x:c r="D109" s="6">
        <x:v>10.0</x:v>
      </x:c>
      <x:c r="E109" s="6" t="str">
        <x:f>IFERROR(IF(VLOOKUP(D109,Giocatori!$A$4:$C$48,2,FALSE)&lt;&gt;"",VLOOKUP(D109,Giocatori!$A$4:$C$48,2,FALSE),"Giocatore "&amp;D109),"Giocatore "&amp;D109)</x:f>
        <x:v>Caliendo Nunzio</x:v>
      </x:c>
      <x:c r="F109" s="14">
        <x:v>36.0</x:v>
      </x:c>
      <x:c r="G109" s="14">
        <x:v>1.0</x:v>
      </x:c>
      <x:c r="H109" s="10">
        <x:v>0.0</x:v>
      </x:c>
      <x:c r="I109" s="6">
        <x:f t="shared" si="2"/>
        <x:v>9</x:v>
      </x:c>
      <x:c r="J109" s="10"/>
    </x:row>
    <x:row r="110" ht="13.5" customHeight="1">
      <x:c r="A110" s="6">
        <x:v>3.0</x:v>
      </x:c>
      <x:c r="B110" s="6" t="s">
        <x:v>95</x:v>
      </x:c>
      <x:c r="C110" s="6">
        <x:v>1.0</x:v>
      </x:c>
      <x:c r="D110" s="6">
        <x:v>26.0</x:v>
      </x:c>
      <x:c r="E110" s="6" t="str">
        <x:f>IFERROR(IF(VLOOKUP(D110,Giocatori!$A$4:$C$48,2,FALSE)&lt;&gt;"",VLOOKUP(D110,Giocatori!$A$4:$C$48,2,FALSE),"Giocatore "&amp;D110),"Giocatore "&amp;D110)</x:f>
        <x:v>La Marca Franco</x:v>
      </x:c>
      <x:c r="F110" s="14">
        <x:v>52.0</x:v>
      </x:c>
      <x:c r="G110" s="14">
        <x:v>1.0</x:v>
      </x:c>
      <x:c r="H110" s="10">
        <x:v>0.0</x:v>
      </x:c>
      <x:c r="I110" s="6">
        <x:f t="shared" si="2"/>
        <x:v>9</x:v>
      </x:c>
      <x:c r="J110" s="10"/>
    </x:row>
    <x:row r="111" ht="13.5" customHeight="1">
      <x:c r="A111" s="6">
        <x:v>3.0</x:v>
      </x:c>
      <x:c r="B111" s="6" t="s">
        <x:v>95</x:v>
      </x:c>
      <x:c r="C111" s="6">
        <x:v>2.0</x:v>
      </x:c>
      <x:c r="D111" s="6">
        <x:v>32.0</x:v>
      </x:c>
      <x:c r="E111" s="6" t="str">
        <x:f>IFERROR(IF(VLOOKUP(D111,Giocatori!$A$4:$C$48,2,FALSE)&lt;&gt;"",VLOOKUP(D111,Giocatori!$A$4:$C$48,2,FALSE),"Giocatore "&amp;D111),"Giocatore "&amp;D111)</x:f>
        <x:v>Notaro Giacomo</x:v>
      </x:c>
      <x:c r="F111" s="14">
        <x:v>61.0</x:v>
      </x:c>
      <x:c r="G111" s="14">
        <x:v>2.0</x:v>
      </x:c>
      <x:c r="H111" s="10">
        <x:v>0.0</x:v>
      </x:c>
      <x:c r="I111" s="6">
        <x:f t="shared" si="2"/>
        <x:v>6</x:v>
      </x:c>
      <x:c r="J111" s="10"/>
    </x:row>
    <x:row r="112" ht="13.5" customHeight="1">
      <x:c r="A112" s="6">
        <x:v>3.0</x:v>
      </x:c>
      <x:c r="B112" s="6" t="s">
        <x:v>95</x:v>
      </x:c>
      <x:c r="C112" s="6">
        <x:v>3.0</x:v>
      </x:c>
      <x:c r="D112" s="6">
        <x:v>38.0</x:v>
      </x:c>
      <x:c r="E112" s="6" t="str">
        <x:f>IFERROR(IF(VLOOKUP(D112,Giocatori!$A$4:$C$48,2,FALSE)&lt;&gt;"",VLOOKUP(D112,Giocatori!$A$4:$C$48,2,FALSE),"Giocatore "&amp;D112),"Giocatore "&amp;D112)</x:f>
        <x:v>Giuseppe Pierro</x:v>
      </x:c>
      <x:c r="F112" s="14">
        <x:v>92.0</x:v>
      </x:c>
      <x:c r="G112" s="14">
        <x:v>5.0</x:v>
      </x:c>
      <x:c r="H112" s="10">
        <x:v>0.0</x:v>
      </x:c>
      <x:c r="I112" s="6">
        <x:f t="shared" si="2"/>
        <x:v>1</x:v>
      </x:c>
      <x:c r="J112" s="10"/>
    </x:row>
    <x:row r="113" ht="13.5" customHeight="1">
      <x:c r="A113" s="6">
        <x:v>3.0</x:v>
      </x:c>
      <x:c r="B113" s="6" t="s">
        <x:v>95</x:v>
      </x:c>
      <x:c r="C113" s="6">
        <x:v>4.0</x:v>
      </x:c>
      <x:c r="D113" s="6">
        <x:v>4.0</x:v>
      </x:c>
      <x:c r="E113" s="6" t="str">
        <x:f>IFERROR(IF(VLOOKUP(D113,Giocatori!$A$4:$C$48,2,FALSE)&lt;&gt;"",VLOOKUP(D113,Giocatori!$A$4:$C$48,2,FALSE),"Giocatore "&amp;D113),"Giocatore "&amp;D113)</x:f>
        <x:v>Annunziata Michele</x:v>
      </x:c>
      <x:c r="F113" s="14">
        <x:v>63.0</x:v>
      </x:c>
      <x:c r="G113" s="14">
        <x:v>3.0</x:v>
      </x:c>
      <x:c r="H113" s="10">
        <x:v>0.0</x:v>
      </x:c>
      <x:c r="I113" s="6">
        <x:f t="shared" si="2"/>
        <x:v>4</x:v>
      </x:c>
      <x:c r="J113" s="10"/>
    </x:row>
    <x:row r="114" ht="13.5" customHeight="1">
      <x:c r="A114" s="6">
        <x:v>3.0</x:v>
      </x:c>
      <x:c r="B114" s="6" t="s">
        <x:v>95</x:v>
      </x:c>
      <x:c r="C114" s="6">
        <x:v>5.0</x:v>
      </x:c>
      <x:c r="D114" s="6">
        <x:v>15.0</x:v>
      </x:c>
      <x:c r="E114" s="6" t="str">
        <x:f>IFERROR(IF(VLOOKUP(D114,Giocatori!$A$4:$C$48,2,FALSE)&lt;&gt;"",VLOOKUP(D114,Giocatori!$A$4:$C$48,2,FALSE),"Giocatore "&amp;D114),"Giocatore "&amp;D114)</x:f>
        <x:v>Tufano Antonio</x:v>
      </x:c>
      <x:c r="F114" s="14">
        <x:v>68.0</x:v>
      </x:c>
      <x:c r="G114" s="14">
        <x:v>4.0</x:v>
      </x:c>
      <x:c r="H114" s="10">
        <x:v>0.0</x:v>
      </x:c>
      <x:c r="I114" s="6">
        <x:f t="shared" si="2"/>
        <x:v>2</x:v>
      </x:c>
      <x:c r="J114" s="10"/>
    </x:row>
    <x:row r="115" ht="13.5" customHeight="1">
      <x:c r="A115" s="6">
        <x:v>3.0</x:v>
      </x:c>
      <x:c r="B115" s="6" t="s">
        <x:v>96</x:v>
      </x:c>
      <x:c r="C115" s="6">
        <x:v>1.0</x:v>
      </x:c>
      <x:c r="D115" s="6">
        <x:v>31.0</x:v>
      </x:c>
      <x:c r="E115" s="6" t="str">
        <x:f>IFERROR(IF(VLOOKUP(D115,Giocatori!$A$4:$C$48,2,FALSE)&lt;&gt;"",VLOOKUP(D115,Giocatori!$A$4:$C$48,2,FALSE),"Giocatore "&amp;D115),"Giocatore "&amp;D115)</x:f>
        <x:v>Anna Angiero</x:v>
      </x:c>
      <x:c r="F115" s="14">
        <x:v>8.0</x:v>
      </x:c>
      <x:c r="G115" s="14">
        <x:v>1.0</x:v>
      </x:c>
      <x:c r="H115" s="10">
        <x:v>0.0</x:v>
      </x:c>
      <x:c r="I115" s="6">
        <x:f t="shared" si="2"/>
        <x:v>9</x:v>
      </x:c>
      <x:c r="J115" s="10"/>
    </x:row>
    <x:row r="116" ht="13.5" customHeight="1">
      <x:c r="A116" s="6">
        <x:v>3.0</x:v>
      </x:c>
      <x:c r="B116" s="6" t="s">
        <x:v>96</x:v>
      </x:c>
      <x:c r="C116" s="6">
        <x:v>2.0</x:v>
      </x:c>
      <x:c r="D116" s="6">
        <x:v>37.0</x:v>
      </x:c>
      <x:c r="E116" s="6" t="str">
        <x:f>IFERROR(IF(VLOOKUP(D116,Giocatori!$A$4:$C$48,2,FALSE)&lt;&gt;"",VLOOKUP(D116,Giocatori!$A$4:$C$48,2,FALSE),"Giocatore "&amp;D116),"Giocatore "&amp;D116)</x:f>
        <x:v>Annunziata Raffaele</x:v>
      </x:c>
      <x:c r="F116" s="14">
        <x:v>31.0</x:v>
      </x:c>
      <x:c r="G116" s="14">
        <x:v>3.0</x:v>
      </x:c>
      <x:c r="H116" s="10">
        <x:v>0.0</x:v>
      </x:c>
      <x:c r="I116" s="6">
        <x:f t="shared" si="2"/>
        <x:v>4</x:v>
      </x:c>
      <x:c r="J116" s="10"/>
    </x:row>
    <x:row r="117" ht="13.5" customHeight="1">
      <x:c r="A117" s="6">
        <x:v>3.0</x:v>
      </x:c>
      <x:c r="B117" s="6" t="s">
        <x:v>96</x:v>
      </x:c>
      <x:c r="C117" s="6">
        <x:v>3.0</x:v>
      </x:c>
      <x:c r="D117" s="6">
        <x:v>3.0</x:v>
      </x:c>
      <x:c r="E117" s="6" t="str">
        <x:f>IFERROR(IF(VLOOKUP(D117,Giocatori!$A$4:$C$48,2,FALSE)&lt;&gt;"",VLOOKUP(D117,Giocatori!$A$4:$C$48,2,FALSE),"Giocatore "&amp;D117),"Giocatore "&amp;D117)</x:f>
        <x:v>Beracci Lucio</x:v>
      </x:c>
      <x:c r="F117" s="14">
        <x:v>27.0</x:v>
      </x:c>
      <x:c r="G117" s="14">
        <x:v>2.0</x:v>
      </x:c>
      <x:c r="H117" s="10">
        <x:v>0.0</x:v>
      </x:c>
      <x:c r="I117" s="6">
        <x:f t="shared" si="2"/>
        <x:v>6</x:v>
      </x:c>
      <x:c r="J117" s="10"/>
    </x:row>
    <x:row r="118" ht="13.5" customHeight="1">
      <x:c r="A118" s="6">
        <x:v>3.0</x:v>
      </x:c>
      <x:c r="B118" s="6" t="s">
        <x:v>96</x:v>
      </x:c>
      <x:c r="C118" s="6">
        <x:v>4.0</x:v>
      </x:c>
      <x:c r="D118" s="6">
        <x:v>9.0</x:v>
      </x:c>
      <x:c r="E118" s="6" t="str">
        <x:f>IFERROR(IF(VLOOKUP(D118,Giocatori!$A$4:$C$48,2,FALSE)&lt;&gt;"",VLOOKUP(D118,Giocatori!$A$4:$C$48,2,FALSE),"Giocatore "&amp;D118),"Giocatore "&amp;D118)</x:f>
        <x:v>Atria Gregorio</x:v>
      </x:c>
      <x:c r="F118" s="14">
        <x:v>86.0</x:v>
      </x:c>
      <x:c r="G118" s="14">
        <x:v>5.0</x:v>
      </x:c>
      <x:c r="H118" s="10">
        <x:v>0.0</x:v>
      </x:c>
      <x:c r="I118" s="6">
        <x:f t="shared" si="2"/>
        <x:v>1</x:v>
      </x:c>
      <x:c r="J118" s="10"/>
    </x:row>
    <x:row r="119" ht="13.5" customHeight="1">
      <x:c r="A119" s="6">
        <x:v>3.0</x:v>
      </x:c>
      <x:c r="B119" s="6" t="s">
        <x:v>96</x:v>
      </x:c>
      <x:c r="C119" s="6">
        <x:v>5.0</x:v>
      </x:c>
      <x:c r="D119" s="6">
        <x:v>20.0</x:v>
      </x:c>
      <x:c r="E119" s="6" t="str">
        <x:f>IFERROR(IF(VLOOKUP(D119,Giocatori!$A$4:$C$48,2,FALSE)&lt;&gt;"",VLOOKUP(D119,Giocatori!$A$4:$C$48,2,FALSE),"Giocatore "&amp;D119),"Giocatore "&amp;D119)</x:f>
        <x:v>Di Grazia Salvatore</x:v>
      </x:c>
      <x:c r="F119" s="14">
        <x:v>33.0</x:v>
      </x:c>
      <x:c r="G119" s="14">
        <x:v>4.0</x:v>
      </x:c>
      <x:c r="H119" s="10">
        <x:v>0.0</x:v>
      </x:c>
      <x:c r="I119" s="6">
        <x:f t="shared" si="2"/>
        <x:v>2</x:v>
      </x:c>
      <x:c r="J119" s="10"/>
    </x:row>
    <x:row r="120" ht="13.5" customHeight="1">
      <x:c r="A120" s="6">
        <x:v>3.0</x:v>
      </x:c>
      <x:c r="B120" s="6" t="s">
        <x:v>99</x:v>
      </x:c>
      <x:c r="C120" s="6">
        <x:v>1.0</x:v>
      </x:c>
      <x:c r="D120" s="6">
        <x:v>36.0</x:v>
      </x:c>
      <x:c r="E120" s="6" t="str">
        <x:f>IFERROR(IF(VLOOKUP(D120,Giocatori!$A$4:$C$48,2,FALSE)&lt;&gt;"",VLOOKUP(D120,Giocatori!$A$4:$C$48,2,FALSE),"Giocatore "&amp;D120),"Giocatore "&amp;D120)</x:f>
        <x:v>Perretta Maurizio</x:v>
      </x:c>
      <x:c r="F120" s="14">
        <x:v>96.0</x:v>
      </x:c>
      <x:c r="G120" s="14">
        <x:v>5.0</x:v>
      </x:c>
      <x:c r="H120" s="10">
        <x:v>0.0</x:v>
      </x:c>
      <x:c r="I120" s="6">
        <x:f t="shared" si="2"/>
        <x:v>1</x:v>
      </x:c>
      <x:c r="J120" s="10"/>
    </x:row>
    <x:row r="121" ht="13.5" customHeight="1">
      <x:c r="A121" s="6">
        <x:v>3.0</x:v>
      </x:c>
      <x:c r="B121" s="6" t="s">
        <x:v>99</x:v>
      </x:c>
      <x:c r="C121" s="6">
        <x:v>2.0</x:v>
      </x:c>
      <x:c r="D121" s="6">
        <x:v>2.0</x:v>
      </x:c>
      <x:c r="E121" s="6" t="str">
        <x:f>IFERROR(IF(VLOOKUP(D121,Giocatori!$A$4:$C$48,2,FALSE)&lt;&gt;"",VLOOKUP(D121,Giocatori!$A$4:$C$48,2,FALSE),"Giocatore "&amp;D121),"Giocatore "&amp;D121)</x:f>
        <x:v>Nicola Mauro</x:v>
      </x:c>
      <x:c r="F121" s="14">
        <x:v>35.0</x:v>
      </x:c>
      <x:c r="G121" s="14">
        <x:v>2.0</x:v>
      </x:c>
      <x:c r="H121" s="10">
        <x:v>0.0</x:v>
      </x:c>
      <x:c r="I121" s="6">
        <x:f t="shared" si="2"/>
        <x:v>6</x:v>
      </x:c>
      <x:c r="J121" s="10"/>
    </x:row>
    <x:row r="122" ht="13.5" customHeight="1">
      <x:c r="A122" s="6">
        <x:v>3.0</x:v>
      </x:c>
      <x:c r="B122" s="6" t="s">
        <x:v>99</x:v>
      </x:c>
      <x:c r="C122" s="6">
        <x:v>3.0</x:v>
      </x:c>
      <x:c r="D122" s="6">
        <x:v>8.0</x:v>
      </x:c>
      <x:c r="E122" s="6" t="str">
        <x:f>IFERROR(IF(VLOOKUP(D122,Giocatori!$A$4:$C$48,2,FALSE)&lt;&gt;"",VLOOKUP(D122,Giocatori!$A$4:$C$48,2,FALSE),"Giocatore "&amp;D122),"Giocatore "&amp;D122)</x:f>
        <x:v>Beracci Benedetto</x:v>
      </x:c>
      <x:c r="F122" s="14">
        <x:v>36.0</x:v>
      </x:c>
      <x:c r="G122" s="14">
        <x:v>3.0</x:v>
      </x:c>
      <x:c r="H122" s="10">
        <x:v>0.0</x:v>
      </x:c>
      <x:c r="I122" s="6">
        <x:f t="shared" si="2"/>
        <x:v>4</x:v>
      </x:c>
      <x:c r="J122" s="10"/>
    </x:row>
    <x:row r="123" ht="13.5" customHeight="1">
      <x:c r="A123" s="6">
        <x:v>3.0</x:v>
      </x:c>
      <x:c r="B123" s="6" t="s">
        <x:v>99</x:v>
      </x:c>
      <x:c r="C123" s="6">
        <x:v>4.0</x:v>
      </x:c>
      <x:c r="D123" s="6">
        <x:v>14.0</x:v>
      </x:c>
      <x:c r="E123" s="6" t="str">
        <x:f>IFERROR(IF(VLOOKUP(D123,Giocatori!$A$4:$C$48,2,FALSE)&lt;&gt;"",VLOOKUP(D123,Giocatori!$A$4:$C$48,2,FALSE),"Giocatore "&amp;D123),"Giocatore "&amp;D123)</x:f>
        <x:v>Botta Francesco</x:v>
      </x:c>
      <x:c r="F123" s="14">
        <x:v>18.0</x:v>
      </x:c>
      <x:c r="G123" s="14">
        <x:v>1.0</x:v>
      </x:c>
      <x:c r="H123" s="10">
        <x:v>0.0</x:v>
      </x:c>
      <x:c r="I123" s="6">
        <x:f t="shared" si="2"/>
        <x:v>9</x:v>
      </x:c>
      <x:c r="J123" s="10"/>
    </x:row>
    <x:row r="124" ht="13.5" customHeight="1">
      <x:c r="A124" s="6">
        <x:v>3.0</x:v>
      </x:c>
      <x:c r="B124" s="6" t="s">
        <x:v>99</x:v>
      </x:c>
      <x:c r="C124" s="6">
        <x:v>5.0</x:v>
      </x:c>
      <x:c r="D124" s="6">
        <x:v>25.0</x:v>
      </x:c>
      <x:c r="E124" s="6" t="str">
        <x:f>IFERROR(IF(VLOOKUP(D124,Giocatori!$A$4:$C$48,2,FALSE)&lt;&gt;"",VLOOKUP(D124,Giocatori!$A$4:$C$48,2,FALSE),"Giocatore "&amp;D124),"Giocatore "&amp;D124)</x:f>
        <x:v>Fontanella Giuseppe</x:v>
      </x:c>
      <x:c r="F124" s="14">
        <x:v>47.0</x:v>
      </x:c>
      <x:c r="G124" s="14">
        <x:v>4.0</x:v>
      </x:c>
      <x:c r="H124" s="10">
        <x:v>0.0</x:v>
      </x:c>
      <x:c r="I124" s="6">
        <x:f t="shared" si="2"/>
        <x:v>2</x:v>
      </x:c>
      <x:c r="J124" s="10"/>
    </x:row>
    <x:row r="125" ht="13.5" customHeight="1">
      <x:c r="A125" s="6"/>
      <x:c r="B125" s="6"/>
      <x:c r="C125" s="6"/>
      <x:c r="D125" s="6"/>
      <x:c r="E125" s="6"/>
      <x:c r="F125" s="10"/>
      <x:c r="G125" s="10"/>
      <x:c r="H125" s="10"/>
      <x:c r="I125" s="6" t="str">
        <x:f t="shared" si="2"/>
      </x:c>
      <x:c r="J125" s="10"/>
    </x:row>
    <x:row r="126" ht="13.5" customHeight="1">
      <x:c r="A126" s="6"/>
      <x:c r="B126" s="6"/>
      <x:c r="C126" s="6"/>
      <x:c r="D126" s="6"/>
      <x:c r="E126" s="6"/>
      <x:c r="F126" s="10"/>
      <x:c r="G126" s="10"/>
      <x:c r="H126" s="10"/>
      <x:c r="I126" s="6" t="str">
        <x:f t="shared" si="2"/>
      </x:c>
      <x:c r="J126" s="10"/>
    </x:row>
    <x:row r="127" ht="13.5" customHeight="1">
      <x:c r="A127" s="6"/>
      <x:c r="B127" s="6"/>
      <x:c r="C127" s="6"/>
      <x:c r="D127" s="6"/>
      <x:c r="E127" s="6"/>
      <x:c r="F127" s="10"/>
      <x:c r="G127" s="10"/>
      <x:c r="H127" s="10"/>
      <x:c r="I127" s="6" t="str">
        <x:f t="shared" si="2"/>
      </x:c>
      <x:c r="J127" s="10"/>
    </x:row>
    <x:row r="128" ht="13.5" customHeight="1">
      <x:c r="A128" s="6"/>
      <x:c r="B128" s="6"/>
      <x:c r="C128" s="6"/>
      <x:c r="D128" s="6"/>
      <x:c r="E128" s="6"/>
      <x:c r="F128" s="10"/>
      <x:c r="G128" s="10"/>
      <x:c r="H128" s="10"/>
      <x:c r="I128" s="6" t="str">
        <x:f t="shared" si="2"/>
      </x:c>
      <x:c r="J128" s="10"/>
    </x:row>
    <x:row r="129" ht="13.5" customHeight="1">
      <x:c r="A129" s="6"/>
      <x:c r="B129" s="6"/>
      <x:c r="C129" s="6"/>
      <x:c r="D129" s="6"/>
      <x:c r="E129" s="6"/>
      <x:c r="F129" s="10"/>
      <x:c r="G129" s="10"/>
      <x:c r="H129" s="10"/>
      <x:c r="I129" s="6" t="str">
        <x:f t="shared" si="2"/>
      </x:c>
      <x:c r="J129" s="10"/>
    </x:row>
    <x:row r="130" ht="13.5" customHeight="1">
      <x:c r="A130" s="6"/>
      <x:c r="B130" s="6"/>
      <x:c r="C130" s="6"/>
      <x:c r="D130" s="6"/>
      <x:c r="E130" s="6"/>
      <x:c r="F130" s="10"/>
      <x:c r="G130" s="10"/>
      <x:c r="H130" s="10"/>
      <x:c r="I130" s="6" t="str">
        <x:f t="shared" si="2"/>
      </x:c>
      <x:c r="J130" s="10"/>
    </x:row>
    <x:row r="131" ht="13.5" customHeight="1">
      <x:c r="A131" s="6"/>
      <x:c r="B131" s="6"/>
      <x:c r="C131" s="6"/>
      <x:c r="D131" s="6"/>
      <x:c r="E131" s="6"/>
      <x:c r="F131" s="10"/>
      <x:c r="G131" s="10"/>
      <x:c r="H131" s="10"/>
      <x:c r="I131" s="6" t="str">
        <x:f t="shared" si="2"/>
      </x:c>
      <x:c r="J131" s="10"/>
    </x:row>
    <x:row r="132" ht="13.5" customHeight="1">
      <x:c r="A132" s="6"/>
      <x:c r="B132" s="6"/>
      <x:c r="C132" s="6"/>
      <x:c r="D132" s="6"/>
      <x:c r="E132" s="6"/>
      <x:c r="F132" s="10"/>
      <x:c r="G132" s="10"/>
      <x:c r="H132" s="10"/>
      <x:c r="I132" s="6" t="str">
        <x:f t="shared" si="2"/>
      </x:c>
      <x:c r="J132" s="10"/>
    </x:row>
    <x:row r="133" ht="13.5" customHeight="1">
      <x:c r="A133" s="6"/>
      <x:c r="B133" s="6"/>
      <x:c r="C133" s="6"/>
      <x:c r="D133" s="6"/>
      <x:c r="E133" s="6"/>
      <x:c r="F133" s="10"/>
      <x:c r="G133" s="10"/>
      <x:c r="H133" s="10"/>
      <x:c r="I133" s="6" t="str">
        <x:f t="shared" si="2"/>
      </x:c>
      <x:c r="J133" s="10"/>
    </x:row>
    <x:row r="134" ht="13.5" customHeight="1">
      <x:c r="A134" s="6"/>
      <x:c r="B134" s="6"/>
      <x:c r="C134" s="6"/>
      <x:c r="D134" s="6"/>
      <x:c r="E134" s="6"/>
      <x:c r="F134" s="10"/>
      <x:c r="G134" s="10"/>
      <x:c r="H134" s="10"/>
      <x:c r="I134" s="6" t="str">
        <x:f t="shared" si="2"/>
      </x:c>
      <x:c r="J134" s="10"/>
    </x:row>
    <x:row r="135" ht="13.5" customHeight="1">
      <x:c r="A135" s="6"/>
      <x:c r="B135" s="6"/>
      <x:c r="C135" s="6"/>
      <x:c r="D135" s="6"/>
      <x:c r="E135" s="6"/>
      <x:c r="F135" s="10"/>
      <x:c r="G135" s="10"/>
      <x:c r="H135" s="10"/>
      <x:c r="I135" s="6" t="str">
        <x:f t="shared" si="2"/>
      </x:c>
      <x:c r="J135" s="10"/>
    </x:row>
    <x:row r="136" ht="13.5" customHeight="1">
      <x:c r="A136" s="6"/>
      <x:c r="B136" s="6"/>
      <x:c r="C136" s="6"/>
      <x:c r="D136" s="6"/>
      <x:c r="E136" s="6"/>
      <x:c r="F136" s="10"/>
      <x:c r="G136" s="10"/>
      <x:c r="H136" s="10"/>
      <x:c r="I136" s="6" t="str">
        <x:f t="shared" si="2"/>
      </x:c>
      <x:c r="J136" s="10"/>
    </x:row>
    <x:row r="137" ht="13.5" customHeight="1">
      <x:c r="A137" s="6"/>
      <x:c r="B137" s="6"/>
      <x:c r="C137" s="6"/>
      <x:c r="D137" s="6"/>
      <x:c r="E137" s="6"/>
      <x:c r="F137" s="10"/>
      <x:c r="G137" s="10"/>
      <x:c r="H137" s="10"/>
      <x:c r="I137" s="6" t="str">
        <x:f t="shared" si="2"/>
      </x:c>
      <x:c r="J137" s="10"/>
    </x:row>
    <x:row r="138" ht="13.5" customHeight="1">
      <x:c r="A138" s="6"/>
      <x:c r="B138" s="6"/>
      <x:c r="C138" s="6"/>
      <x:c r="D138" s="6"/>
      <x:c r="E138" s="6"/>
      <x:c r="F138" s="10"/>
      <x:c r="G138" s="10"/>
      <x:c r="H138" s="10"/>
      <x:c r="I138" s="6" t="str">
        <x:f t="shared" si="2"/>
      </x:c>
      <x:c r="J138" s="10"/>
    </x:row>
    <x:row r="139" ht="13.5" customHeight="1">
      <x:c r="A139" s="6"/>
      <x:c r="B139" s="6"/>
      <x:c r="C139" s="6"/>
      <x:c r="D139" s="6"/>
      <x:c r="E139" s="6"/>
      <x:c r="F139" s="10"/>
      <x:c r="G139" s="10"/>
      <x:c r="H139" s="10"/>
      <x:c r="I139" s="6" t="str">
        <x:f t="shared" si="2"/>
      </x:c>
      <x:c r="J139" s="10"/>
    </x:row>
    <x:row r="140" ht="13.5" customHeight="1">
      <x:c r="A140" s="6"/>
      <x:c r="B140" s="6"/>
      <x:c r="C140" s="6"/>
      <x:c r="D140" s="6"/>
      <x:c r="E140" s="6"/>
      <x:c r="F140" s="10"/>
      <x:c r="G140" s="10"/>
      <x:c r="H140" s="10"/>
      <x:c r="I140" s="6" t="str">
        <x:f t="shared" si="2"/>
      </x:c>
      <x:c r="J140" s="10"/>
    </x:row>
    <x:row r="141" ht="13.5" customHeight="1">
      <x:c r="A141" s="6"/>
      <x:c r="B141" s="6"/>
      <x:c r="C141" s="6"/>
      <x:c r="D141" s="6"/>
      <x:c r="E141" s="6"/>
      <x:c r="F141" s="10"/>
      <x:c r="G141" s="10"/>
      <x:c r="H141" s="10"/>
      <x:c r="I141" s="6" t="str">
        <x:f t="shared" si="2"/>
      </x:c>
      <x:c r="J141" s="10"/>
    </x:row>
    <x:row r="142" ht="13.5" customHeight="1">
      <x:c r="A142" s="6"/>
      <x:c r="B142" s="6"/>
      <x:c r="C142" s="6"/>
      <x:c r="D142" s="6"/>
      <x:c r="E142" s="6"/>
      <x:c r="F142" s="10"/>
      <x:c r="G142" s="10"/>
      <x:c r="H142" s="10"/>
      <x:c r="I142" s="6" t="str">
        <x:f t="shared" si="2"/>
      </x:c>
      <x:c r="J142" s="10"/>
    </x:row>
    <x:row r="143" ht="13.5" customHeight="1">
      <x:c r="A143" s="6"/>
      <x:c r="B143" s="6"/>
      <x:c r="C143" s="6"/>
      <x:c r="D143" s="6"/>
      <x:c r="E143" s="6"/>
      <x:c r="F143" s="10"/>
      <x:c r="G143" s="10"/>
      <x:c r="H143" s="10"/>
      <x:c r="I143" s="6" t="str">
        <x:f t="shared" si="2"/>
      </x:c>
      <x:c r="J143" s="10"/>
    </x:row>
    <x:row r="144" ht="13.5" customHeight="1">
      <x:c r="A144" s="6"/>
      <x:c r="B144" s="6"/>
      <x:c r="C144" s="6"/>
      <x:c r="D144" s="6"/>
      <x:c r="E144" s="6"/>
      <x:c r="F144" s="10"/>
      <x:c r="G144" s="10"/>
      <x:c r="H144" s="10"/>
      <x:c r="I144" s="6" t="str">
        <x:f t="shared" si="2"/>
      </x:c>
      <x:c r="J144" s="10"/>
    </x:row>
    <x:row r="145" ht="13.5" customHeight="1">
      <x:c r="A145" s="6"/>
      <x:c r="B145" s="6"/>
      <x:c r="C145" s="6"/>
      <x:c r="D145" s="6"/>
      <x:c r="E145" s="6"/>
      <x:c r="F145" s="10"/>
      <x:c r="G145" s="10"/>
      <x:c r="H145" s="10"/>
      <x:c r="I145" s="6" t="str">
        <x:f t="shared" si="2"/>
      </x:c>
      <x:c r="J145" s="10"/>
    </x:row>
    <x:row r="146" ht="13.5" customHeight="1">
      <x:c r="A146" s="6"/>
      <x:c r="B146" s="6"/>
      <x:c r="C146" s="6"/>
      <x:c r="D146" s="6"/>
      <x:c r="E146" s="6"/>
      <x:c r="F146" s="10"/>
      <x:c r="G146" s="10"/>
      <x:c r="H146" s="10"/>
      <x:c r="I146" s="6" t="str">
        <x:f t="shared" si="2"/>
      </x:c>
      <x:c r="J146" s="10"/>
    </x:row>
    <x:row r="147" ht="13.5" customHeight="1">
      <x:c r="A147" s="6"/>
      <x:c r="B147" s="6"/>
      <x:c r="C147" s="6"/>
      <x:c r="D147" s="6"/>
      <x:c r="E147" s="6"/>
      <x:c r="F147" s="10"/>
      <x:c r="G147" s="10"/>
      <x:c r="H147" s="10"/>
      <x:c r="I147" s="6" t="str">
        <x:f t="shared" si="2"/>
      </x:c>
      <x:c r="J147" s="10"/>
    </x:row>
    <x:row r="148" ht="13.5" customHeight="1">
      <x:c r="A148" s="6"/>
      <x:c r="B148" s="6"/>
      <x:c r="C148" s="6"/>
      <x:c r="D148" s="6"/>
      <x:c r="E148" s="6"/>
      <x:c r="F148" s="10"/>
      <x:c r="G148" s="10"/>
      <x:c r="H148" s="10"/>
      <x:c r="I148" s="6" t="str">
        <x:f t="shared" si="2"/>
      </x:c>
      <x:c r="J148" s="10"/>
    </x:row>
    <x:row r="149" ht="13.5" customHeight="1">
      <x:c r="A149" s="6"/>
      <x:c r="B149" s="6"/>
      <x:c r="C149" s="6"/>
      <x:c r="D149" s="6"/>
      <x:c r="E149" s="6"/>
      <x:c r="F149" s="10"/>
      <x:c r="G149" s="10"/>
      <x:c r="H149" s="10"/>
      <x:c r="I149" s="6" t="str">
        <x:f t="shared" si="2"/>
      </x:c>
      <x:c r="J149" s="10"/>
    </x:row>
    <x:row r="150" ht="13.5" customHeight="1">
      <x:c r="A150" s="6"/>
      <x:c r="B150" s="6"/>
      <x:c r="C150" s="6"/>
      <x:c r="D150" s="6"/>
      <x:c r="E150" s="6"/>
      <x:c r="F150" s="10"/>
      <x:c r="G150" s="10"/>
      <x:c r="H150" s="10"/>
      <x:c r="I150" s="6" t="str">
        <x:f t="shared" si="2"/>
      </x:c>
      <x:c r="J150" s="10"/>
    </x:row>
    <x:row r="151" ht="13.5" customHeight="1">
      <x:c r="A151" s="6"/>
      <x:c r="B151" s="6"/>
      <x:c r="C151" s="6"/>
      <x:c r="D151" s="6"/>
      <x:c r="E151" s="6"/>
      <x:c r="F151" s="10"/>
      <x:c r="G151" s="10"/>
      <x:c r="H151" s="10"/>
      <x:c r="I151" s="6" t="str">
        <x:f t="shared" si="2"/>
      </x:c>
      <x:c r="J151" s="10"/>
    </x:row>
    <x:row r="152" ht="13.5" customHeight="1">
      <x:c r="A152" s="6"/>
      <x:c r="B152" s="6"/>
      <x:c r="C152" s="6"/>
      <x:c r="D152" s="6"/>
      <x:c r="E152" s="6"/>
      <x:c r="F152" s="10"/>
      <x:c r="G152" s="10"/>
      <x:c r="H152" s="10"/>
      <x:c r="I152" s="6" t="str">
        <x:f t="shared" si="2"/>
      </x:c>
      <x:c r="J152" s="10"/>
    </x:row>
    <x:row r="153" ht="13.5" customHeight="1">
      <x:c r="A153" s="6"/>
      <x:c r="B153" s="6"/>
      <x:c r="C153" s="6"/>
      <x:c r="D153" s="6"/>
      <x:c r="E153" s="6"/>
      <x:c r="F153" s="10"/>
      <x:c r="G153" s="10"/>
      <x:c r="H153" s="10"/>
      <x:c r="I153" s="6" t="str">
        <x:f t="shared" si="2"/>
      </x:c>
      <x:c r="J153" s="10"/>
    </x:row>
    <x:row r="154" ht="13.5" customHeight="1">
      <x:c r="A154" s="6"/>
      <x:c r="B154" s="6"/>
      <x:c r="C154" s="6"/>
      <x:c r="D154" s="6"/>
      <x:c r="E154" s="6"/>
      <x:c r="F154" s="10"/>
      <x:c r="G154" s="10"/>
      <x:c r="H154" s="10"/>
      <x:c r="I154" s="6" t="str">
        <x:f t="shared" si="2"/>
      </x:c>
      <x:c r="J154" s="10"/>
    </x:row>
    <x:row r="155" ht="13.5" customHeight="1">
      <x:c r="A155" s="6"/>
      <x:c r="B155" s="6"/>
      <x:c r="C155" s="6"/>
      <x:c r="D155" s="6"/>
      <x:c r="E155" s="6"/>
      <x:c r="F155" s="10"/>
      <x:c r="G155" s="10"/>
      <x:c r="H155" s="10"/>
      <x:c r="I155" s="6" t="str">
        <x:f t="shared" si="2"/>
      </x:c>
      <x:c r="J155" s="10"/>
    </x:row>
    <x:row r="156" ht="13.5" customHeight="1">
      <x:c r="A156" s="6"/>
      <x:c r="B156" s="6"/>
      <x:c r="C156" s="6"/>
      <x:c r="D156" s="6"/>
      <x:c r="E156" s="6"/>
      <x:c r="F156" s="10"/>
      <x:c r="G156" s="10"/>
      <x:c r="H156" s="10"/>
      <x:c r="I156" s="6" t="str">
        <x:f t="shared" si="2"/>
      </x:c>
      <x:c r="J156" s="10"/>
    </x:row>
    <x:row r="157" ht="13.5" customHeight="1">
      <x:c r="A157" s="6"/>
      <x:c r="B157" s="6"/>
      <x:c r="C157" s="6"/>
      <x:c r="D157" s="6"/>
      <x:c r="E157" s="6"/>
      <x:c r="F157" s="10"/>
      <x:c r="G157" s="10"/>
      <x:c r="H157" s="10"/>
      <x:c r="I157" s="6" t="str">
        <x:f t="shared" si="2"/>
      </x:c>
      <x:c r="J157" s="10"/>
    </x:row>
    <x:row r="158" ht="13.5" customHeight="1">
      <x:c r="A158" s="6"/>
      <x:c r="B158" s="6"/>
      <x:c r="C158" s="6"/>
      <x:c r="D158" s="6"/>
      <x:c r="E158" s="6"/>
      <x:c r="F158" s="10"/>
      <x:c r="G158" s="10"/>
      <x:c r="H158" s="10"/>
      <x:c r="I158" s="6" t="str">
        <x:f t="shared" si="2"/>
      </x:c>
      <x:c r="J158" s="10"/>
    </x:row>
    <x:row r="159" ht="13.5" customHeight="1">
      <x:c r="A159" s="6"/>
      <x:c r="B159" s="6"/>
      <x:c r="C159" s="6"/>
      <x:c r="D159" s="6"/>
      <x:c r="E159" s="6"/>
      <x:c r="F159" s="10"/>
      <x:c r="G159" s="10"/>
      <x:c r="H159" s="10"/>
      <x:c r="I159" s="6" t="str">
        <x:f t="shared" si="2"/>
      </x:c>
      <x:c r="J159" s="10"/>
    </x:row>
    <x:row r="160" ht="13.5" customHeight="1">
      <x:c r="A160" s="6"/>
      <x:c r="B160" s="6"/>
      <x:c r="C160" s="6"/>
      <x:c r="D160" s="6"/>
      <x:c r="E160" s="6"/>
      <x:c r="F160" s="10"/>
      <x:c r="G160" s="10"/>
      <x:c r="H160" s="10"/>
      <x:c r="I160" s="6" t="str">
        <x:f t="shared" si="2"/>
      </x:c>
      <x:c r="J160" s="10"/>
    </x:row>
    <x:row r="161" ht="13.5" customHeight="1">
      <x:c r="A161" s="6"/>
      <x:c r="B161" s="6"/>
      <x:c r="C161" s="6"/>
      <x:c r="D161" s="6"/>
      <x:c r="E161" s="6"/>
      <x:c r="F161" s="10"/>
      <x:c r="G161" s="10"/>
      <x:c r="H161" s="10"/>
      <x:c r="I161" s="6" t="str">
        <x:f t="shared" si="2"/>
      </x:c>
      <x:c r="J161" s="10"/>
    </x:row>
    <x:row r="162" ht="13.5" customHeight="1">
      <x:c r="A162" s="6"/>
      <x:c r="B162" s="6"/>
      <x:c r="C162" s="6"/>
      <x:c r="D162" s="6"/>
      <x:c r="E162" s="6"/>
      <x:c r="F162" s="10"/>
      <x:c r="G162" s="10"/>
      <x:c r="H162" s="10"/>
      <x:c r="I162" s="6" t="str">
        <x:f t="shared" si="2"/>
      </x:c>
      <x:c r="J162" s="10"/>
    </x:row>
    <x:row r="163" ht="13.5" customHeight="1">
      <x:c r="A163" s="6"/>
      <x:c r="B163" s="6"/>
      <x:c r="C163" s="6"/>
      <x:c r="D163" s="6"/>
      <x:c r="E163" s="6"/>
      <x:c r="F163" s="10"/>
      <x:c r="G163" s="10"/>
      <x:c r="H163" s="10"/>
      <x:c r="I163" s="6" t="str">
        <x:f t="shared" si="2"/>
      </x:c>
      <x:c r="J163" s="10"/>
    </x:row>
    <x:row r="164" ht="13.5" customHeight="1">
      <x:c r="A164" s="6"/>
      <x:c r="B164" s="6"/>
      <x:c r="C164" s="6"/>
      <x:c r="D164" s="6"/>
      <x:c r="E164" s="6"/>
      <x:c r="F164" s="10"/>
      <x:c r="G164" s="10"/>
      <x:c r="H164" s="10"/>
      <x:c r="I164" s="6" t="str">
        <x:f t="shared" si="2"/>
      </x:c>
      <x:c r="J164" s="10"/>
    </x:row>
    <x:row r="165" ht="13.5" customHeight="1">
      <x:c r="A165" s="6"/>
      <x:c r="B165" s="6"/>
      <x:c r="C165" s="6"/>
      <x:c r="D165" s="6"/>
      <x:c r="E165" s="6"/>
      <x:c r="F165" s="10"/>
      <x:c r="G165" s="10"/>
      <x:c r="H165" s="10"/>
      <x:c r="I165" s="6" t="str">
        <x:f t="shared" si="2"/>
      </x:c>
      <x:c r="J165" s="10"/>
    </x:row>
    <x:row r="166" ht="13.5" customHeight="1">
      <x:c r="A166" s="6"/>
      <x:c r="B166" s="6"/>
      <x:c r="C166" s="6"/>
      <x:c r="D166" s="6"/>
      <x:c r="E166" s="6"/>
      <x:c r="F166" s="10"/>
      <x:c r="G166" s="10"/>
      <x:c r="H166" s="10"/>
      <x:c r="I166" s="6" t="str">
        <x:f t="shared" si="2"/>
      </x:c>
      <x:c r="J166" s="10"/>
    </x:row>
    <x:row r="167" ht="13.5" customHeight="1">
      <x:c r="A167" s="6"/>
      <x:c r="B167" s="6"/>
      <x:c r="C167" s="6"/>
      <x:c r="D167" s="6"/>
      <x:c r="E167" s="6"/>
      <x:c r="F167" s="10"/>
      <x:c r="G167" s="10"/>
      <x:c r="H167" s="10"/>
      <x:c r="I167" s="6" t="str">
        <x:f t="shared" si="2"/>
      </x:c>
      <x:c r="J167" s="10"/>
    </x:row>
    <x:row r="168" ht="13.5" customHeight="1">
      <x:c r="A168" s="6"/>
      <x:c r="B168" s="6"/>
      <x:c r="C168" s="6"/>
      <x:c r="D168" s="6"/>
      <x:c r="E168" s="6"/>
      <x:c r="F168" s="10"/>
      <x:c r="G168" s="10"/>
      <x:c r="H168" s="10"/>
      <x:c r="I168" s="6" t="str">
        <x:f t="shared" si="2"/>
      </x:c>
      <x:c r="J168" s="10"/>
    </x:row>
    <x:row r="169" ht="13.5" customHeight="1">
      <x:c r="A169" s="6"/>
      <x:c r="B169" s="6"/>
      <x:c r="C169" s="6"/>
      <x:c r="D169" s="6"/>
      <x:c r="E169" s="6"/>
      <x:c r="F169" s="10"/>
      <x:c r="G169" s="10"/>
      <x:c r="H169" s="10"/>
      <x:c r="I169" s="6" t="str">
        <x:f t="shared" si="2"/>
      </x:c>
      <x:c r="J169" s="10"/>
    </x:row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dataValidations count="1">
    <x:dataValidation type="list" allowBlank="1" sqref="G5:G169">
      <x:formula1>"1,2,3,4,5"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9" customWidth="1"/>
    <x:col min="2" max="2" width="10" customWidth="1"/>
    <x:col min="3" max="3" width="9" customWidth="1"/>
    <x:col min="4" max="4" width="14" customWidth="1"/>
    <x:col min="5" max="5" width="28" customWidth="1"/>
    <x:col min="6" max="6" width="16" customWidth="1"/>
    <x:col min="7" max="7" width="13" customWidth="1"/>
    <x:col min="8" max="8" width="10" customWidth="1"/>
    <x:col min="9" max="9" width="17" customWidth="1"/>
    <x:col min="10" max="10" width="30" customWidth="1"/>
  </x:cols>
  <x:sheetData>
    <x:row r="1" ht="19.5" customHeight="1">
      <x:c r="A1" s="1" t="s">
        <x:v>100</x:v>
      </x:c>
    </x:row>
    <x:row r="2" ht="13.5" customHeight="1">
      <x:c r="A2" s="3" t="s">
        <x:v>80</x:v>
      </x:c>
    </x:row>
    <x:row r="3" ht="13.5" customHeight="1"/>
    <x:row r="4" ht="13.5" customHeight="1">
      <x:c r="A4" s="4" t="s">
        <x:v>81</x:v>
      </x:c>
      <x:c r="B4" s="4" t="s">
        <x:v>82</x:v>
      </x:c>
      <x:c r="C4" s="4" t="s">
        <x:v>83</x:v>
      </x:c>
      <x:c r="D4" s="4" t="s">
        <x:v>84</x:v>
      </x:c>
      <x:c r="E4" s="4" t="s">
        <x:v>85</x:v>
      </x:c>
      <x:c r="F4" s="4" t="s">
        <x:v>86</x:v>
      </x:c>
      <x:c r="G4" s="4" t="s">
        <x:v>87</x:v>
      </x:c>
      <x:c r="H4" s="4" t="s">
        <x:v>88</x:v>
      </x:c>
      <x:c r="I4" s="4" t="s">
        <x:v>89</x:v>
      </x:c>
      <x:c r="J4" s="4" t="s">
        <x:v>38</x:v>
      </x:c>
    </x:row>
    <x:row r="5" ht="13.5" customHeight="1">
      <x:c r="A5" s="6">
        <x:v>1.0</x:v>
      </x:c>
      <x:c r="B5" s="6" t="s">
        <x:v>90</x:v>
      </x:c>
      <x:c r="C5" s="6">
        <x:v>1.0</x:v>
      </x:c>
      <x:c r="D5" s="6">
        <x:v>1.0</x:v>
      </x:c>
      <x:c r="E5" s="6" t="str">
        <x:f>IFERROR(IF(VLOOKUP(D5,Giocatori!$A$4:$C$48,2,FALSE)&lt;&gt;"",VLOOKUP(D5,Giocatori!$A$4:$C$48,2,FALSE),"Giocatore "&amp;D5),"Giocatore "&amp;D5)</x:f>
        <x:v>Zio Raffaele</x:v>
      </x:c>
      <x:c r="F5" s="18"/>
      <x:c r="G5" s="18"/>
      <x:c r="H5" s="10">
        <x:v>0.0</x:v>
      </x:c>
      <x:c r="I5" s="6" t="str">
        <x:f t="shared" ref="I5:I184" si="1">IF(OR(G5="",G5&lt;1,G5&gt;5),"",CHOOSE(G5,9,6,4,2,1)+2*IF(H5="",0,H5))</x:f>
      </x:c>
      <x:c r="J5" s="10"/>
    </x:row>
    <x:row r="6" ht="13.5" customHeight="1">
      <x:c r="A6" s="6">
        <x:v>1.0</x:v>
      </x:c>
      <x:c r="B6" s="6" t="s">
        <x:v>90</x:v>
      </x:c>
      <x:c r="C6" s="6">
        <x:v>2.0</x:v>
      </x:c>
      <x:c r="D6" s="6">
        <x:v>2.0</x:v>
      </x:c>
      <x:c r="E6" s="6" t="str">
        <x:f>IFERROR(IF(VLOOKUP(D6,Giocatori!$A$4:$C$48,2,FALSE)&lt;&gt;"",VLOOKUP(D6,Giocatori!$A$4:$C$48,2,FALSE),"Giocatore "&amp;D6),"Giocatore "&amp;D6)</x:f>
        <x:v>Nicola Mauro</x:v>
      </x:c>
      <x:c r="F6" s="18"/>
      <x:c r="G6" s="18"/>
      <x:c r="H6" s="10">
        <x:v>0.0</x:v>
      </x:c>
      <x:c r="I6" s="6" t="str">
        <x:f t="shared" si="1"/>
      </x:c>
      <x:c r="J6" s="10"/>
    </x:row>
    <x:row r="7" ht="13.5" customHeight="1">
      <x:c r="A7" s="6">
        <x:v>1.0</x:v>
      </x:c>
      <x:c r="B7" s="6" t="s">
        <x:v>90</x:v>
      </x:c>
      <x:c r="C7" s="6">
        <x:v>3.0</x:v>
      </x:c>
      <x:c r="D7" s="6">
        <x:v>3.0</x:v>
      </x:c>
      <x:c r="E7" s="6" t="str">
        <x:f>IFERROR(IF(VLOOKUP(D7,Giocatori!$A$4:$C$48,2,FALSE)&lt;&gt;"",VLOOKUP(D7,Giocatori!$A$4:$C$48,2,FALSE),"Giocatore "&amp;D7),"Giocatore "&amp;D7)</x:f>
        <x:v>Beracci Lucio</x:v>
      </x:c>
      <x:c r="F7" s="18"/>
      <x:c r="G7" s="18"/>
      <x:c r="H7" s="10">
        <x:v>0.0</x:v>
      </x:c>
      <x:c r="I7" s="6" t="str">
        <x:f t="shared" si="1"/>
      </x:c>
      <x:c r="J7" s="10"/>
    </x:row>
    <x:row r="8" ht="13.5" customHeight="1">
      <x:c r="A8" s="6">
        <x:v>1.0</x:v>
      </x:c>
      <x:c r="B8" s="6" t="s">
        <x:v>90</x:v>
      </x:c>
      <x:c r="C8" s="6">
        <x:v>4.0</x:v>
      </x:c>
      <x:c r="D8" s="6">
        <x:v>4.0</x:v>
      </x:c>
      <x:c r="E8" s="6" t="str">
        <x:f>IFERROR(IF(VLOOKUP(D8,Giocatori!$A$4:$C$48,2,FALSE)&lt;&gt;"",VLOOKUP(D8,Giocatori!$A$4:$C$48,2,FALSE),"Giocatore "&amp;D8),"Giocatore "&amp;D8)</x:f>
        <x:v>Annunziata Michele</x:v>
      </x:c>
      <x:c r="F8" s="18"/>
      <x:c r="G8" s="18"/>
      <x:c r="H8" s="10">
        <x:v>0.0</x:v>
      </x:c>
      <x:c r="I8" s="6" t="str">
        <x:f t="shared" si="1"/>
      </x:c>
      <x:c r="J8" s="10"/>
    </x:row>
    <x:row r="9" ht="13.5" customHeight="1">
      <x:c r="A9" s="6">
        <x:v>1.0</x:v>
      </x:c>
      <x:c r="B9" s="6" t="s">
        <x:v>90</x:v>
      </x:c>
      <x:c r="C9" s="6">
        <x:v>5.0</x:v>
      </x:c>
      <x:c r="D9" s="6">
        <x:v>5.0</x:v>
      </x:c>
      <x:c r="E9" s="6" t="str">
        <x:f>IFERROR(IF(VLOOKUP(D9,Giocatori!$A$4:$C$48,2,FALSE)&lt;&gt;"",VLOOKUP(D9,Giocatori!$A$4:$C$48,2,FALSE),"Giocatore "&amp;D9),"Giocatore "&amp;D9)</x:f>
        <x:v>La Marca Carlo</x:v>
      </x:c>
      <x:c r="F9" s="18"/>
      <x:c r="G9" s="18"/>
      <x:c r="H9" s="10">
        <x:v>0.0</x:v>
      </x:c>
      <x:c r="I9" s="6" t="str">
        <x:f t="shared" si="1"/>
      </x:c>
      <x:c r="J9" s="10"/>
    </x:row>
    <x:row r="10" ht="13.5" customHeight="1">
      <x:c r="A10" s="6">
        <x:v>1.0</x:v>
      </x:c>
      <x:c r="B10" s="6" t="s">
        <x:v>91</x:v>
      </x:c>
      <x:c r="C10" s="6">
        <x:v>1.0</x:v>
      </x:c>
      <x:c r="D10" s="6">
        <x:v>6.0</x:v>
      </x:c>
      <x:c r="E10" s="6" t="str">
        <x:f>IFERROR(IF(VLOOKUP(D10,Giocatori!$A$4:$C$48,2,FALSE)&lt;&gt;"",VLOOKUP(D10,Giocatori!$A$4:$C$48,2,FALSE),"Giocatore "&amp;D10),"Giocatore "&amp;D10)</x:f>
        <x:v>Sommese Antonio</x:v>
      </x:c>
      <x:c r="F10" s="18"/>
      <x:c r="G10" s="18"/>
      <x:c r="H10" s="10">
        <x:v>0.0</x:v>
      </x:c>
      <x:c r="I10" s="6" t="str">
        <x:f t="shared" si="1"/>
      </x:c>
      <x:c r="J10" s="10"/>
    </x:row>
    <x:row r="11" ht="13.5" customHeight="1">
      <x:c r="A11" s="6">
        <x:v>1.0</x:v>
      </x:c>
      <x:c r="B11" s="6" t="s">
        <x:v>91</x:v>
      </x:c>
      <x:c r="C11" s="6">
        <x:v>2.0</x:v>
      </x:c>
      <x:c r="D11" s="6">
        <x:v>7.0</x:v>
      </x:c>
      <x:c r="E11" s="6" t="str">
        <x:f>IFERROR(IF(VLOOKUP(D11,Giocatori!$A$4:$C$48,2,FALSE)&lt;&gt;"",VLOOKUP(D11,Giocatori!$A$4:$C$48,2,FALSE),"Giocatore "&amp;D11),"Giocatore "&amp;D11)</x:f>
        <x:v>Notaro massimo</x:v>
      </x:c>
      <x:c r="F11" s="18"/>
      <x:c r="G11" s="18"/>
      <x:c r="H11" s="10">
        <x:v>0.0</x:v>
      </x:c>
      <x:c r="I11" s="6" t="str">
        <x:f t="shared" si="1"/>
      </x:c>
      <x:c r="J11" s="10"/>
    </x:row>
    <x:row r="12" ht="13.5" customHeight="1">
      <x:c r="A12" s="6">
        <x:v>1.0</x:v>
      </x:c>
      <x:c r="B12" s="6" t="s">
        <x:v>91</x:v>
      </x:c>
      <x:c r="C12" s="6">
        <x:v>3.0</x:v>
      </x:c>
      <x:c r="D12" s="6">
        <x:v>8.0</x:v>
      </x:c>
      <x:c r="E12" s="6" t="str">
        <x:f>IFERROR(IF(VLOOKUP(D12,Giocatori!$A$4:$C$48,2,FALSE)&lt;&gt;"",VLOOKUP(D12,Giocatori!$A$4:$C$48,2,FALSE),"Giocatore "&amp;D12),"Giocatore "&amp;D12)</x:f>
        <x:v>Beracci Benedetto</x:v>
      </x:c>
      <x:c r="F12" s="18"/>
      <x:c r="G12" s="18"/>
      <x:c r="H12" s="10">
        <x:v>0.0</x:v>
      </x:c>
      <x:c r="I12" s="6" t="str">
        <x:f t="shared" si="1"/>
      </x:c>
      <x:c r="J12" s="10"/>
    </x:row>
    <x:row r="13" ht="13.5" customHeight="1">
      <x:c r="A13" s="6">
        <x:v>1.0</x:v>
      </x:c>
      <x:c r="B13" s="6" t="s">
        <x:v>91</x:v>
      </x:c>
      <x:c r="C13" s="6">
        <x:v>4.0</x:v>
      </x:c>
      <x:c r="D13" s="6">
        <x:v>9.0</x:v>
      </x:c>
      <x:c r="E13" s="6" t="str">
        <x:f>IFERROR(IF(VLOOKUP(D13,Giocatori!$A$4:$C$48,2,FALSE)&lt;&gt;"",VLOOKUP(D13,Giocatori!$A$4:$C$48,2,FALSE),"Giocatore "&amp;D13),"Giocatore "&amp;D13)</x:f>
        <x:v>Atria Gregorio</x:v>
      </x:c>
      <x:c r="F13" s="18"/>
      <x:c r="G13" s="18"/>
      <x:c r="H13" s="10">
        <x:v>0.0</x:v>
      </x:c>
      <x:c r="I13" s="6" t="str">
        <x:f t="shared" si="1"/>
      </x:c>
      <x:c r="J13" s="10"/>
    </x:row>
    <x:row r="14" ht="13.5" customHeight="1">
      <x:c r="A14" s="6">
        <x:v>1.0</x:v>
      </x:c>
      <x:c r="B14" s="6" t="s">
        <x:v>91</x:v>
      </x:c>
      <x:c r="C14" s="6">
        <x:v>5.0</x:v>
      </x:c>
      <x:c r="D14" s="6">
        <x:v>10.0</x:v>
      </x:c>
      <x:c r="E14" s="6" t="str">
        <x:f>IFERROR(IF(VLOOKUP(D14,Giocatori!$A$4:$C$48,2,FALSE)&lt;&gt;"",VLOOKUP(D14,Giocatori!$A$4:$C$48,2,FALSE),"Giocatore "&amp;D14),"Giocatore "&amp;D14)</x:f>
        <x:v>Caliendo Nunzio</x:v>
      </x:c>
      <x:c r="F14" s="18"/>
      <x:c r="G14" s="18"/>
      <x:c r="H14" s="10">
        <x:v>0.0</x:v>
      </x:c>
      <x:c r="I14" s="6" t="str">
        <x:f t="shared" si="1"/>
      </x:c>
      <x:c r="J14" s="10"/>
    </x:row>
    <x:row r="15" ht="13.5" customHeight="1">
      <x:c r="A15" s="6">
        <x:v>1.0</x:v>
      </x:c>
      <x:c r="B15" s="6" t="s">
        <x:v>92</x:v>
      </x:c>
      <x:c r="C15" s="6">
        <x:v>1.0</x:v>
      </x:c>
      <x:c r="D15" s="6">
        <x:v>11.0</x:v>
      </x:c>
      <x:c r="E15" s="6" t="str">
        <x:f>IFERROR(IF(VLOOKUP(D15,Giocatori!$A$4:$C$48,2,FALSE)&lt;&gt;"",VLOOKUP(D15,Giocatori!$A$4:$C$48,2,FALSE),"Giocatore "&amp;D15),"Giocatore "&amp;D15)</x:f>
        <x:v>Moccia Biagio</x:v>
      </x:c>
      <x:c r="F15" s="18"/>
      <x:c r="G15" s="18"/>
      <x:c r="H15" s="10">
        <x:v>0.0</x:v>
      </x:c>
      <x:c r="I15" s="6" t="str">
        <x:f t="shared" si="1"/>
      </x:c>
      <x:c r="J15" s="10"/>
    </x:row>
    <x:row r="16" ht="13.5" customHeight="1">
      <x:c r="A16" s="6">
        <x:v>1.0</x:v>
      </x:c>
      <x:c r="B16" s="6" t="s">
        <x:v>92</x:v>
      </x:c>
      <x:c r="C16" s="6">
        <x:v>2.0</x:v>
      </x:c>
      <x:c r="D16" s="6">
        <x:v>12.0</x:v>
      </x:c>
      <x:c r="E16" s="6" t="str">
        <x:f>IFERROR(IF(VLOOKUP(D16,Giocatori!$A$4:$C$48,2,FALSE)&lt;&gt;"",VLOOKUP(D16,Giocatori!$A$4:$C$48,2,FALSE),"Giocatore "&amp;D16),"Giocatore "&amp;D16)</x:f>
        <x:v>De Falco Andrea</x:v>
      </x:c>
      <x:c r="F16" s="18"/>
      <x:c r="G16" s="18"/>
      <x:c r="H16" s="10">
        <x:v>0.0</x:v>
      </x:c>
      <x:c r="I16" s="6" t="str">
        <x:f t="shared" si="1"/>
      </x:c>
      <x:c r="J16" s="10"/>
    </x:row>
    <x:row r="17" ht="13.5" customHeight="1">
      <x:c r="A17" s="6">
        <x:v>1.0</x:v>
      </x:c>
      <x:c r="B17" s="6" t="s">
        <x:v>92</x:v>
      </x:c>
      <x:c r="C17" s="6">
        <x:v>3.0</x:v>
      </x:c>
      <x:c r="D17" s="6">
        <x:v>13.0</x:v>
      </x:c>
      <x:c r="E17" s="6" t="str">
        <x:f>IFERROR(IF(VLOOKUP(D17,Giocatori!$A$4:$C$48,2,FALSE)&lt;&gt;"",VLOOKUP(D17,Giocatori!$A$4:$C$48,2,FALSE),"Giocatore "&amp;D17),"Giocatore "&amp;D17)</x:f>
        <x:v>Corbo Alessandro</x:v>
      </x:c>
      <x:c r="F17" s="18"/>
      <x:c r="G17" s="18"/>
      <x:c r="H17" s="10">
        <x:v>0.0</x:v>
      </x:c>
      <x:c r="I17" s="6" t="str">
        <x:f t="shared" si="1"/>
      </x:c>
      <x:c r="J17" s="10"/>
    </x:row>
    <x:row r="18" ht="13.5" customHeight="1">
      <x:c r="A18" s="6">
        <x:v>1.0</x:v>
      </x:c>
      <x:c r="B18" s="6" t="s">
        <x:v>92</x:v>
      </x:c>
      <x:c r="C18" s="6">
        <x:v>4.0</x:v>
      </x:c>
      <x:c r="D18" s="6">
        <x:v>14.0</x:v>
      </x:c>
      <x:c r="E18" s="6" t="str">
        <x:f>IFERROR(IF(VLOOKUP(D18,Giocatori!$A$4:$C$48,2,FALSE)&lt;&gt;"",VLOOKUP(D18,Giocatori!$A$4:$C$48,2,FALSE),"Giocatore "&amp;D18),"Giocatore "&amp;D18)</x:f>
        <x:v>Botta Francesco</x:v>
      </x:c>
      <x:c r="F18" s="18"/>
      <x:c r="G18" s="18"/>
      <x:c r="H18" s="10">
        <x:v>0.0</x:v>
      </x:c>
      <x:c r="I18" s="6" t="str">
        <x:f t="shared" si="1"/>
      </x:c>
      <x:c r="J18" s="10"/>
    </x:row>
    <x:row r="19" ht="13.5" customHeight="1">
      <x:c r="A19" s="6">
        <x:v>1.0</x:v>
      </x:c>
      <x:c r="B19" s="6" t="s">
        <x:v>92</x:v>
      </x:c>
      <x:c r="C19" s="6">
        <x:v>5.0</x:v>
      </x:c>
      <x:c r="D19" s="6">
        <x:v>15.0</x:v>
      </x:c>
      <x:c r="E19" s="6" t="str">
        <x:f>IFERROR(IF(VLOOKUP(D19,Giocatori!$A$4:$C$48,2,FALSE)&lt;&gt;"",VLOOKUP(D19,Giocatori!$A$4:$C$48,2,FALSE),"Giocatore "&amp;D19),"Giocatore "&amp;D19)</x:f>
        <x:v>Tufano Antonio</x:v>
      </x:c>
      <x:c r="F19" s="18"/>
      <x:c r="G19" s="18"/>
      <x:c r="H19" s="10">
        <x:v>0.0</x:v>
      </x:c>
      <x:c r="I19" s="6" t="str">
        <x:f t="shared" si="1"/>
      </x:c>
      <x:c r="J19" s="10"/>
    </x:row>
    <x:row r="20" ht="13.5" customHeight="1">
      <x:c r="A20" s="6">
        <x:v>1.0</x:v>
      </x:c>
      <x:c r="B20" s="6" t="s">
        <x:v>93</x:v>
      </x:c>
      <x:c r="C20" s="6">
        <x:v>1.0</x:v>
      </x:c>
      <x:c r="D20" s="6">
        <x:v>16.0</x:v>
      </x:c>
      <x:c r="E20" s="6" t="str">
        <x:f>IFERROR(IF(VLOOKUP(D20,Giocatori!$A$4:$C$48,2,FALSE)&lt;&gt;"",VLOOKUP(D20,Giocatori!$A$4:$C$48,2,FALSE),"Giocatore "&amp;D20),"Giocatore "&amp;D20)</x:f>
        <x:v>Iorio Raffaele</x:v>
      </x:c>
      <x:c r="F20" s="18"/>
      <x:c r="G20" s="18"/>
      <x:c r="H20" s="10">
        <x:v>0.0</x:v>
      </x:c>
      <x:c r="I20" s="6" t="str">
        <x:f t="shared" si="1"/>
      </x:c>
      <x:c r="J20" s="10"/>
    </x:row>
    <x:row r="21" ht="13.5" customHeight="1">
      <x:c r="A21" s="6">
        <x:v>1.0</x:v>
      </x:c>
      <x:c r="B21" s="6" t="s">
        <x:v>93</x:v>
      </x:c>
      <x:c r="C21" s="6">
        <x:v>2.0</x:v>
      </x:c>
      <x:c r="D21" s="6">
        <x:v>17.0</x:v>
      </x:c>
      <x:c r="E21" s="6" t="str">
        <x:f>IFERROR(IF(VLOOKUP(D21,Giocatori!$A$4:$C$48,2,FALSE)&lt;&gt;"",VLOOKUP(D21,Giocatori!$A$4:$C$48,2,FALSE),"Giocatore "&amp;D21),"Giocatore "&amp;D21)</x:f>
        <x:v>Scogliamiglio Alfredo</x:v>
      </x:c>
      <x:c r="F21" s="18"/>
      <x:c r="G21" s="18"/>
      <x:c r="H21" s="10">
        <x:v>0.0</x:v>
      </x:c>
      <x:c r="I21" s="6" t="str">
        <x:f t="shared" si="1"/>
      </x:c>
      <x:c r="J21" s="10"/>
    </x:row>
    <x:row r="22" ht="13.5" customHeight="1">
      <x:c r="A22" s="6">
        <x:v>1.0</x:v>
      </x:c>
      <x:c r="B22" s="6" t="s">
        <x:v>93</x:v>
      </x:c>
      <x:c r="C22" s="6">
        <x:v>3.0</x:v>
      </x:c>
      <x:c r="D22" s="6">
        <x:v>18.0</x:v>
      </x:c>
      <x:c r="E22" s="6" t="str">
        <x:f>IFERROR(IF(VLOOKUP(D22,Giocatori!$A$4:$C$48,2,FALSE)&lt;&gt;"",VLOOKUP(D22,Giocatori!$A$4:$C$48,2,FALSE),"Giocatore "&amp;D22),"Giocatore "&amp;D22)</x:f>
        <x:v>Cafarelli Manolo</x:v>
      </x:c>
      <x:c r="F22" s="18"/>
      <x:c r="G22" s="18"/>
      <x:c r="H22" s="10">
        <x:v>0.0</x:v>
      </x:c>
      <x:c r="I22" s="6" t="str">
        <x:f t="shared" si="1"/>
      </x:c>
      <x:c r="J22" s="10"/>
    </x:row>
    <x:row r="23" ht="13.5" customHeight="1">
      <x:c r="A23" s="6">
        <x:v>1.0</x:v>
      </x:c>
      <x:c r="B23" s="6" t="s">
        <x:v>93</x:v>
      </x:c>
      <x:c r="C23" s="6">
        <x:v>4.0</x:v>
      </x:c>
      <x:c r="D23" s="6">
        <x:v>19.0</x:v>
      </x:c>
      <x:c r="E23" s="6" t="str">
        <x:f>IFERROR(IF(VLOOKUP(D23,Giocatori!$A$4:$C$48,2,FALSE)&lt;&gt;"",VLOOKUP(D23,Giocatori!$A$4:$C$48,2,FALSE),"Giocatore "&amp;D23),"Giocatore "&amp;D23)</x:f>
        <x:v>Fuschillo Franco</x:v>
      </x:c>
      <x:c r="F23" s="18"/>
      <x:c r="G23" s="18"/>
      <x:c r="H23" s="10">
        <x:v>0.0</x:v>
      </x:c>
      <x:c r="I23" s="6" t="str">
        <x:f t="shared" si="1"/>
      </x:c>
      <x:c r="J23" s="10"/>
    </x:row>
    <x:row r="24" ht="13.5" customHeight="1">
      <x:c r="A24" s="6">
        <x:v>1.0</x:v>
      </x:c>
      <x:c r="B24" s="6" t="s">
        <x:v>93</x:v>
      </x:c>
      <x:c r="C24" s="6">
        <x:v>5.0</x:v>
      </x:c>
      <x:c r="D24" s="6">
        <x:v>20.0</x:v>
      </x:c>
      <x:c r="E24" s="6" t="str">
        <x:f>IFERROR(IF(VLOOKUP(D24,Giocatori!$A$4:$C$48,2,FALSE)&lt;&gt;"",VLOOKUP(D24,Giocatori!$A$4:$C$48,2,FALSE),"Giocatore "&amp;D24),"Giocatore "&amp;D24)</x:f>
        <x:v>Di Grazia Salvatore</x:v>
      </x:c>
      <x:c r="F24" s="18"/>
      <x:c r="G24" s="18"/>
      <x:c r="H24" s="10">
        <x:v>0.0</x:v>
      </x:c>
      <x:c r="I24" s="6" t="str">
        <x:f t="shared" si="1"/>
      </x:c>
      <x:c r="J24" s="10"/>
    </x:row>
    <x:row r="25" ht="13.5" customHeight="1">
      <x:c r="A25" s="6">
        <x:v>1.0</x:v>
      </x:c>
      <x:c r="B25" s="6" t="s">
        <x:v>94</x:v>
      </x:c>
      <x:c r="C25" s="6">
        <x:v>1.0</x:v>
      </x:c>
      <x:c r="D25" s="6">
        <x:v>21.0</x:v>
      </x:c>
      <x:c r="E25" s="6" t="str">
        <x:f>IFERROR(IF(VLOOKUP(D25,Giocatori!$A$4:$C$48,2,FALSE)&lt;&gt;"",VLOOKUP(D25,Giocatori!$A$4:$C$48,2,FALSE),"Giocatore "&amp;D25),"Giocatore "&amp;D25)</x:f>
        <x:v>Mauro Candice</x:v>
      </x:c>
      <x:c r="F25" s="18"/>
      <x:c r="G25" s="18"/>
      <x:c r="H25" s="10">
        <x:v>0.0</x:v>
      </x:c>
      <x:c r="I25" s="6" t="str">
        <x:f t="shared" si="1"/>
      </x:c>
      <x:c r="J25" s="10"/>
    </x:row>
    <x:row r="26" ht="13.5" customHeight="1">
      <x:c r="A26" s="6">
        <x:v>1.0</x:v>
      </x:c>
      <x:c r="B26" s="6" t="s">
        <x:v>94</x:v>
      </x:c>
      <x:c r="C26" s="6">
        <x:v>2.0</x:v>
      </x:c>
      <x:c r="D26" s="6">
        <x:v>22.0</x:v>
      </x:c>
      <x:c r="E26" s="6" t="str">
        <x:f>IFERROR(IF(VLOOKUP(D26,Giocatori!$A$4:$C$48,2,FALSE)&lt;&gt;"",VLOOKUP(D26,Giocatori!$A$4:$C$48,2,FALSE),"Giocatore "&amp;D26),"Giocatore "&amp;D26)</x:f>
        <x:v>Michele Zappone</x:v>
      </x:c>
      <x:c r="F26" s="18"/>
      <x:c r="G26" s="18"/>
      <x:c r="H26" s="10">
        <x:v>0.0</x:v>
      </x:c>
      <x:c r="I26" s="6" t="str">
        <x:f t="shared" si="1"/>
      </x:c>
      <x:c r="J26" s="10"/>
    </x:row>
    <x:row r="27" ht="13.5" customHeight="1">
      <x:c r="A27" s="6">
        <x:v>1.0</x:v>
      </x:c>
      <x:c r="B27" s="6" t="s">
        <x:v>94</x:v>
      </x:c>
      <x:c r="C27" s="6">
        <x:v>3.0</x:v>
      </x:c>
      <x:c r="D27" s="6">
        <x:v>23.0</x:v>
      </x:c>
      <x:c r="E27" s="6" t="str">
        <x:f>IFERROR(IF(VLOOKUP(D27,Giocatori!$A$4:$C$48,2,FALSE)&lt;&gt;"",VLOOKUP(D27,Giocatori!$A$4:$C$48,2,FALSE),"Giocatore "&amp;D27),"Giocatore "&amp;D27)</x:f>
        <x:v>Amato Alessandro</x:v>
      </x:c>
      <x:c r="F27" s="18"/>
      <x:c r="G27" s="18"/>
      <x:c r="H27" s="10">
        <x:v>0.0</x:v>
      </x:c>
      <x:c r="I27" s="6" t="str">
        <x:f t="shared" si="1"/>
      </x:c>
      <x:c r="J27" s="10"/>
    </x:row>
    <x:row r="28" ht="13.5" customHeight="1">
      <x:c r="A28" s="6">
        <x:v>1.0</x:v>
      </x:c>
      <x:c r="B28" s="6" t="s">
        <x:v>94</x:v>
      </x:c>
      <x:c r="C28" s="6">
        <x:v>4.0</x:v>
      </x:c>
      <x:c r="D28" s="6">
        <x:v>24.0</x:v>
      </x:c>
      <x:c r="E28" s="6" t="str">
        <x:f>IFERROR(IF(VLOOKUP(D28,Giocatori!$A$4:$C$48,2,FALSE)&lt;&gt;"",VLOOKUP(D28,Giocatori!$A$4:$C$48,2,FALSE),"Giocatore "&amp;D28),"Giocatore "&amp;D28)</x:f>
        <x:v>Napolitano Pasquale</x:v>
      </x:c>
      <x:c r="F28" s="18"/>
      <x:c r="G28" s="18"/>
      <x:c r="H28" s="10">
        <x:v>0.0</x:v>
      </x:c>
      <x:c r="I28" s="6" t="str">
        <x:f t="shared" si="1"/>
      </x:c>
      <x:c r="J28" s="10"/>
    </x:row>
    <x:row r="29" ht="13.5" customHeight="1">
      <x:c r="A29" s="6">
        <x:v>1.0</x:v>
      </x:c>
      <x:c r="B29" s="6" t="s">
        <x:v>94</x:v>
      </x:c>
      <x:c r="C29" s="6">
        <x:v>5.0</x:v>
      </x:c>
      <x:c r="D29" s="6">
        <x:v>25.0</x:v>
      </x:c>
      <x:c r="E29" s="6" t="str">
        <x:f>IFERROR(IF(VLOOKUP(D29,Giocatori!$A$4:$C$48,2,FALSE)&lt;&gt;"",VLOOKUP(D29,Giocatori!$A$4:$C$48,2,FALSE),"Giocatore "&amp;D29),"Giocatore "&amp;D29)</x:f>
        <x:v>Fontanella Giuseppe</x:v>
      </x:c>
      <x:c r="F29" s="18"/>
      <x:c r="G29" s="18"/>
      <x:c r="H29" s="10">
        <x:v>0.0</x:v>
      </x:c>
      <x:c r="I29" s="6" t="str">
        <x:f t="shared" si="1"/>
      </x:c>
      <x:c r="J29" s="10"/>
    </x:row>
    <x:row r="30" ht="13.5" customHeight="1">
      <x:c r="A30" s="6">
        <x:v>1.0</x:v>
      </x:c>
      <x:c r="B30" s="6" t="s">
        <x:v>95</x:v>
      </x:c>
      <x:c r="C30" s="6">
        <x:v>1.0</x:v>
      </x:c>
      <x:c r="D30" s="6">
        <x:v>26.0</x:v>
      </x:c>
      <x:c r="E30" s="6" t="str">
        <x:f>IFERROR(IF(VLOOKUP(D30,Giocatori!$A$4:$C$48,2,FALSE)&lt;&gt;"",VLOOKUP(D30,Giocatori!$A$4:$C$48,2,FALSE),"Giocatore "&amp;D30),"Giocatore "&amp;D30)</x:f>
        <x:v>La Marca Franco</x:v>
      </x:c>
      <x:c r="F30" s="18"/>
      <x:c r="G30" s="18"/>
      <x:c r="H30" s="10">
        <x:v>0.0</x:v>
      </x:c>
      <x:c r="I30" s="6" t="str">
        <x:f t="shared" si="1"/>
      </x:c>
      <x:c r="J30" s="10"/>
    </x:row>
    <x:row r="31" ht="13.5" customHeight="1">
      <x:c r="A31" s="6">
        <x:v>1.0</x:v>
      </x:c>
      <x:c r="B31" s="6" t="s">
        <x:v>95</x:v>
      </x:c>
      <x:c r="C31" s="6">
        <x:v>2.0</x:v>
      </x:c>
      <x:c r="D31" s="6">
        <x:v>27.0</x:v>
      </x:c>
      <x:c r="E31" s="6" t="str">
        <x:f>IFERROR(IF(VLOOKUP(D31,Giocatori!$A$4:$C$48,2,FALSE)&lt;&gt;"",VLOOKUP(D31,Giocatori!$A$4:$C$48,2,FALSE),"Giocatore "&amp;D31),"Giocatore "&amp;D31)</x:f>
        <x:v>Tufano Michele</x:v>
      </x:c>
      <x:c r="F31" s="18"/>
      <x:c r="G31" s="18"/>
      <x:c r="H31" s="10">
        <x:v>0.0</x:v>
      </x:c>
      <x:c r="I31" s="6" t="str">
        <x:f t="shared" si="1"/>
      </x:c>
      <x:c r="J31" s="10"/>
    </x:row>
    <x:row r="32" ht="13.5" customHeight="1">
      <x:c r="A32" s="6">
        <x:v>1.0</x:v>
      </x:c>
      <x:c r="B32" s="6" t="s">
        <x:v>95</x:v>
      </x:c>
      <x:c r="C32" s="6">
        <x:v>3.0</x:v>
      </x:c>
      <x:c r="D32" s="6">
        <x:v>28.0</x:v>
      </x:c>
      <x:c r="E32" s="6" t="str">
        <x:f>IFERROR(IF(VLOOKUP(D32,Giocatori!$A$4:$C$48,2,FALSE)&lt;&gt;"",VLOOKUP(D32,Giocatori!$A$4:$C$48,2,FALSE),"Giocatore "&amp;D32),"Giocatore "&amp;D32)</x:f>
        <x:v>Ambrosino Raffaele</x:v>
      </x:c>
      <x:c r="F32" s="18"/>
      <x:c r="G32" s="18"/>
      <x:c r="H32" s="10">
        <x:v>0.0</x:v>
      </x:c>
      <x:c r="I32" s="6" t="str">
        <x:f t="shared" si="1"/>
      </x:c>
      <x:c r="J32" s="10"/>
    </x:row>
    <x:row r="33" ht="13.5" customHeight="1">
      <x:c r="A33" s="6">
        <x:v>1.0</x:v>
      </x:c>
      <x:c r="B33" s="6" t="s">
        <x:v>95</x:v>
      </x:c>
      <x:c r="C33" s="6">
        <x:v>4.0</x:v>
      </x:c>
      <x:c r="D33" s="6">
        <x:v>29.0</x:v>
      </x:c>
      <x:c r="E33" s="6" t="str">
        <x:f>IFERROR(IF(VLOOKUP(D33,Giocatori!$A$4:$C$48,2,FALSE)&lt;&gt;"",VLOOKUP(D33,Giocatori!$A$4:$C$48,2,FALSE),"Giocatore "&amp;D33),"Giocatore "&amp;D33)</x:f>
        <x:v>Tufano Giovanni</x:v>
      </x:c>
      <x:c r="F33" s="18"/>
      <x:c r="G33" s="18"/>
      <x:c r="H33" s="10">
        <x:v>0.0</x:v>
      </x:c>
      <x:c r="I33" s="6" t="str">
        <x:f t="shared" si="1"/>
      </x:c>
      <x:c r="J33" s="10"/>
    </x:row>
    <x:row r="34" ht="13.5" customHeight="1">
      <x:c r="A34" s="6">
        <x:v>1.0</x:v>
      </x:c>
      <x:c r="B34" s="6" t="s">
        <x:v>95</x:v>
      </x:c>
      <x:c r="C34" s="6">
        <x:v>5.0</x:v>
      </x:c>
      <x:c r="D34" s="6">
        <x:v>30.0</x:v>
      </x:c>
      <x:c r="E34" s="6" t="str">
        <x:f>IFERROR(IF(VLOOKUP(D34,Giocatori!$A$4:$C$48,2,FALSE)&lt;&gt;"",VLOOKUP(D34,Giocatori!$A$4:$C$48,2,FALSE),"Giocatore "&amp;D34),"Giocatore "&amp;D34)</x:f>
        <x:v>Mauro Raffaele</x:v>
      </x:c>
      <x:c r="F34" s="18"/>
      <x:c r="G34" s="18"/>
      <x:c r="H34" s="10">
        <x:v>0.0</x:v>
      </x:c>
      <x:c r="I34" s="6" t="str">
        <x:f t="shared" si="1"/>
      </x:c>
      <x:c r="J34" s="10"/>
    </x:row>
    <x:row r="35" ht="13.5" customHeight="1">
      <x:c r="A35" s="6">
        <x:v>1.0</x:v>
      </x:c>
      <x:c r="B35" s="6" t="s">
        <x:v>96</x:v>
      </x:c>
      <x:c r="C35" s="6">
        <x:v>1.0</x:v>
      </x:c>
      <x:c r="D35" s="6">
        <x:v>31.0</x:v>
      </x:c>
      <x:c r="E35" s="6" t="str">
        <x:f>IFERROR(IF(VLOOKUP(D35,Giocatori!$A$4:$C$48,2,FALSE)&lt;&gt;"",VLOOKUP(D35,Giocatori!$A$4:$C$48,2,FALSE),"Giocatore "&amp;D35),"Giocatore "&amp;D35)</x:f>
        <x:v>Anna Angiero</x:v>
      </x:c>
      <x:c r="F35" s="18"/>
      <x:c r="G35" s="18"/>
      <x:c r="H35" s="10">
        <x:v>0.0</x:v>
      </x:c>
      <x:c r="I35" s="6" t="str">
        <x:f t="shared" si="1"/>
      </x:c>
      <x:c r="J35" s="10"/>
    </x:row>
    <x:row r="36" ht="13.5" customHeight="1">
      <x:c r="A36" s="6">
        <x:v>1.0</x:v>
      </x:c>
      <x:c r="B36" s="6" t="s">
        <x:v>96</x:v>
      </x:c>
      <x:c r="C36" s="6">
        <x:v>2.0</x:v>
      </x:c>
      <x:c r="D36" s="6">
        <x:v>32.0</x:v>
      </x:c>
      <x:c r="E36" s="6" t="str">
        <x:f>IFERROR(IF(VLOOKUP(D36,Giocatori!$A$4:$C$48,2,FALSE)&lt;&gt;"",VLOOKUP(D36,Giocatori!$A$4:$C$48,2,FALSE),"Giocatore "&amp;D36),"Giocatore "&amp;D36)</x:f>
        <x:v>Notaro Giacomo</x:v>
      </x:c>
      <x:c r="F36" s="18"/>
      <x:c r="G36" s="18"/>
      <x:c r="H36" s="10">
        <x:v>0.0</x:v>
      </x:c>
      <x:c r="I36" s="6" t="str">
        <x:f t="shared" si="1"/>
      </x:c>
      <x:c r="J36" s="10"/>
    </x:row>
    <x:row r="37" ht="13.5" customHeight="1">
      <x:c r="A37" s="6">
        <x:v>1.0</x:v>
      </x:c>
      <x:c r="B37" s="6" t="s">
        <x:v>96</x:v>
      </x:c>
      <x:c r="C37" s="6">
        <x:v>3.0</x:v>
      </x:c>
      <x:c r="D37" s="6">
        <x:v>33.0</x:v>
      </x:c>
      <x:c r="E37" s="6" t="str">
        <x:f>IFERROR(IF(VLOOKUP(D37,Giocatori!$A$4:$C$48,2,FALSE)&lt;&gt;"",VLOOKUP(D37,Giocatori!$A$4:$C$48,2,FALSE),"Giocatore "&amp;D37),"Giocatore "&amp;D37)</x:f>
        <x:v>Nappi Nestore</x:v>
      </x:c>
      <x:c r="F37" s="18"/>
      <x:c r="G37" s="18"/>
      <x:c r="H37" s="10">
        <x:v>0.0</x:v>
      </x:c>
      <x:c r="I37" s="6" t="str">
        <x:f t="shared" si="1"/>
      </x:c>
      <x:c r="J37" s="10"/>
    </x:row>
    <x:row r="38" ht="13.5" customHeight="1">
      <x:c r="A38" s="6">
        <x:v>1.0</x:v>
      </x:c>
      <x:c r="B38" s="6" t="s">
        <x:v>96</x:v>
      </x:c>
      <x:c r="C38" s="6">
        <x:v>4.0</x:v>
      </x:c>
      <x:c r="D38" s="6">
        <x:v>34.0</x:v>
      </x:c>
      <x:c r="E38" s="6" t="str">
        <x:f>IFERROR(IF(VLOOKUP(D38,Giocatori!$A$4:$C$48,2,FALSE)&lt;&gt;"",VLOOKUP(D38,Giocatori!$A$4:$C$48,2,FALSE),"Giocatore "&amp;D38),"Giocatore "&amp;D38)</x:f>
        <x:v>Pasquale Marotta</x:v>
      </x:c>
      <x:c r="F38" s="18"/>
      <x:c r="G38" s="18"/>
      <x:c r="H38" s="10">
        <x:v>0.0</x:v>
      </x:c>
      <x:c r="I38" s="6" t="str">
        <x:f t="shared" si="1"/>
      </x:c>
      <x:c r="J38" s="10"/>
    </x:row>
    <x:row r="39" ht="13.5" customHeight="1">
      <x:c r="A39" s="6">
        <x:v>1.0</x:v>
      </x:c>
      <x:c r="B39" s="6" t="s">
        <x:v>96</x:v>
      </x:c>
      <x:c r="C39" s="6">
        <x:v>5.0</x:v>
      </x:c>
      <x:c r="D39" s="6">
        <x:v>35.0</x:v>
      </x:c>
      <x:c r="E39" s="6" t="str">
        <x:f>IFERROR(IF(VLOOKUP(D39,Giocatori!$A$4:$C$48,2,FALSE)&lt;&gt;"",VLOOKUP(D39,Giocatori!$A$4:$C$48,2,FALSE),"Giocatore "&amp;D39),"Giocatore "&amp;D39)</x:f>
        <x:v>Napolitano Raffaele</x:v>
      </x:c>
      <x:c r="F39" s="18"/>
      <x:c r="G39" s="18"/>
      <x:c r="H39" s="10">
        <x:v>0.0</x:v>
      </x:c>
      <x:c r="I39" s="6" t="str">
        <x:f t="shared" si="1"/>
      </x:c>
      <x:c r="J39" s="10"/>
    </x:row>
    <x:row r="40" ht="13.5" customHeight="1">
      <x:c r="A40" s="6">
        <x:v>1.0</x:v>
      </x:c>
      <x:c r="B40" s="6" t="s">
        <x:v>99</x:v>
      </x:c>
      <x:c r="C40" s="6">
        <x:v>1.0</x:v>
      </x:c>
      <x:c r="D40" s="6">
        <x:v>36.0</x:v>
      </x:c>
      <x:c r="E40" s="6" t="str">
        <x:f>IFERROR(IF(VLOOKUP(D40,Giocatori!$A$4:$C$48,2,FALSE)&lt;&gt;"",VLOOKUP(D40,Giocatori!$A$4:$C$48,2,FALSE),"Giocatore "&amp;D40),"Giocatore "&amp;D40)</x:f>
        <x:v>Perretta Maurizio</x:v>
      </x:c>
      <x:c r="F40" s="18"/>
      <x:c r="G40" s="18"/>
      <x:c r="H40" s="10">
        <x:v>0.0</x:v>
      </x:c>
      <x:c r="I40" s="6" t="str">
        <x:f t="shared" si="1"/>
      </x:c>
      <x:c r="J40" s="10"/>
    </x:row>
    <x:row r="41" ht="13.5" customHeight="1">
      <x:c r="A41" s="6">
        <x:v>1.0</x:v>
      </x:c>
      <x:c r="B41" s="6" t="s">
        <x:v>99</x:v>
      </x:c>
      <x:c r="C41" s="6">
        <x:v>2.0</x:v>
      </x:c>
      <x:c r="D41" s="6">
        <x:v>37.0</x:v>
      </x:c>
      <x:c r="E41" s="6" t="str">
        <x:f>IFERROR(IF(VLOOKUP(D41,Giocatori!$A$4:$C$48,2,FALSE)&lt;&gt;"",VLOOKUP(D41,Giocatori!$A$4:$C$48,2,FALSE),"Giocatore "&amp;D41),"Giocatore "&amp;D41)</x:f>
        <x:v>Annunziata Raffaele</x:v>
      </x:c>
      <x:c r="F41" s="18"/>
      <x:c r="G41" s="18"/>
      <x:c r="H41" s="10">
        <x:v>0.0</x:v>
      </x:c>
      <x:c r="I41" s="6" t="str">
        <x:f t="shared" si="1"/>
      </x:c>
      <x:c r="J41" s="10"/>
    </x:row>
    <x:row r="42" ht="13.5" customHeight="1">
      <x:c r="A42" s="6">
        <x:v>1.0</x:v>
      </x:c>
      <x:c r="B42" s="6" t="s">
        <x:v>99</x:v>
      </x:c>
      <x:c r="C42" s="6">
        <x:v>3.0</x:v>
      </x:c>
      <x:c r="D42" s="6">
        <x:v>38.0</x:v>
      </x:c>
      <x:c r="E42" s="6" t="str">
        <x:f>IFERROR(IF(VLOOKUP(D42,Giocatori!$A$4:$C$48,2,FALSE)&lt;&gt;"",VLOOKUP(D42,Giocatori!$A$4:$C$48,2,FALSE),"Giocatore "&amp;D42),"Giocatore "&amp;D42)</x:f>
        <x:v>Giuseppe Pierro</x:v>
      </x:c>
      <x:c r="F42" s="18"/>
      <x:c r="G42" s="18"/>
      <x:c r="H42" s="10">
        <x:v>0.0</x:v>
      </x:c>
      <x:c r="I42" s="6" t="str">
        <x:f t="shared" si="1"/>
      </x:c>
      <x:c r="J42" s="10"/>
    </x:row>
    <x:row r="43" ht="13.5" customHeight="1">
      <x:c r="A43" s="6">
        <x:v>1.0</x:v>
      </x:c>
      <x:c r="B43" s="6" t="s">
        <x:v>99</x:v>
      </x:c>
      <x:c r="C43" s="6">
        <x:v>4.0</x:v>
      </x:c>
      <x:c r="D43" s="6">
        <x:v>39.0</x:v>
      </x:c>
      <x:c r="E43" s="6" t="str">
        <x:f>IFERROR(IF(VLOOKUP(D43,Giocatori!$A$4:$C$48,2,FALSE)&lt;&gt;"",VLOOKUP(D43,Giocatori!$A$4:$C$48,2,FALSE),"Giocatore "&amp;D43),"Giocatore "&amp;D43)</x:f>
        <x:v>La Marca Pasquale</x:v>
      </x:c>
      <x:c r="F43" s="18"/>
      <x:c r="G43" s="18"/>
      <x:c r="H43" s="10">
        <x:v>0.0</x:v>
      </x:c>
      <x:c r="I43" s="6" t="str">
        <x:f t="shared" si="1"/>
      </x:c>
      <x:c r="J43" s="10"/>
    </x:row>
    <x:row r="44" ht="13.5" customHeight="1">
      <x:c r="A44" s="6">
        <x:v>1.0</x:v>
      </x:c>
      <x:c r="B44" s="6" t="s">
        <x:v>99</x:v>
      </x:c>
      <x:c r="C44" s="6">
        <x:v>5.0</x:v>
      </x:c>
      <x:c r="D44" s="6">
        <x:v>40.0</x:v>
      </x:c>
      <x:c r="E44" s="6" t="str">
        <x:f>IFERROR(IF(VLOOKUP(D44,Giocatori!$A$4:$C$48,2,FALSE)&lt;&gt;"",VLOOKUP(D44,Giocatori!$A$4:$C$48,2,FALSE),"Giocatore "&amp;D44),"Giocatore "&amp;D44)</x:f>
        <x:v>Ambrosino Michele</x:v>
      </x:c>
      <x:c r="F44" s="18"/>
      <x:c r="G44" s="18"/>
      <x:c r="H44" s="10">
        <x:v>0.0</x:v>
      </x:c>
      <x:c r="I44" s="6" t="str">
        <x:f t="shared" si="1"/>
      </x:c>
      <x:c r="J44" s="10"/>
    </x:row>
    <x:row r="45" ht="13.5" customHeight="1">
      <x:c r="A45" s="6">
        <x:v>1.0</x:v>
      </x:c>
      <x:c r="B45" s="6" t="s">
        <x:v>101</x:v>
      </x:c>
      <x:c r="C45" s="6">
        <x:v>1.0</x:v>
      </x:c>
      <x:c r="D45" s="6">
        <x:v>41.0</x:v>
      </x:c>
      <x:c r="E45" s="6" t="str">
        <x:f>IFERROR(IF(VLOOKUP(D45,Giocatori!$A$4:$C$48,2,FALSE)&lt;&gt;"",VLOOKUP(D45,Giocatori!$A$4:$C$48,2,FALSE),"Giocatore "&amp;D45),"Giocatore "&amp;D45)</x:f>
        <x:v>Giocatore 41</x:v>
      </x:c>
      <x:c r="F45" s="18"/>
      <x:c r="G45" s="18"/>
      <x:c r="H45" s="10">
        <x:v>0.0</x:v>
      </x:c>
      <x:c r="I45" s="6" t="str">
        <x:f t="shared" si="1"/>
      </x:c>
      <x:c r="J45" s="10"/>
    </x:row>
    <x:row r="46" ht="13.5" customHeight="1">
      <x:c r="A46" s="6">
        <x:v>1.0</x:v>
      </x:c>
      <x:c r="B46" s="6" t="s">
        <x:v>101</x:v>
      </x:c>
      <x:c r="C46" s="6">
        <x:v>2.0</x:v>
      </x:c>
      <x:c r="D46" s="6">
        <x:v>42.0</x:v>
      </x:c>
      <x:c r="E46" s="6" t="str">
        <x:f>IFERROR(IF(VLOOKUP(D46,Giocatori!$A$4:$C$48,2,FALSE)&lt;&gt;"",VLOOKUP(D46,Giocatori!$A$4:$C$48,2,FALSE),"Giocatore "&amp;D46),"Giocatore "&amp;D46)</x:f>
        <x:v>Giocatore 42</x:v>
      </x:c>
      <x:c r="F46" s="18"/>
      <x:c r="G46" s="18"/>
      <x:c r="H46" s="10">
        <x:v>0.0</x:v>
      </x:c>
      <x:c r="I46" s="6" t="str">
        <x:f t="shared" si="1"/>
      </x:c>
      <x:c r="J46" s="10"/>
    </x:row>
    <x:row r="47" ht="13.5" customHeight="1">
      <x:c r="A47" s="6">
        <x:v>1.0</x:v>
      </x:c>
      <x:c r="B47" s="6" t="s">
        <x:v>101</x:v>
      </x:c>
      <x:c r="C47" s="6">
        <x:v>3.0</x:v>
      </x:c>
      <x:c r="D47" s="6">
        <x:v>43.0</x:v>
      </x:c>
      <x:c r="E47" s="6" t="str">
        <x:f>IFERROR(IF(VLOOKUP(D47,Giocatori!$A$4:$C$48,2,FALSE)&lt;&gt;"",VLOOKUP(D47,Giocatori!$A$4:$C$48,2,FALSE),"Giocatore "&amp;D47),"Giocatore "&amp;D47)</x:f>
        <x:v>Giocatore 43</x:v>
      </x:c>
      <x:c r="F47" s="18"/>
      <x:c r="G47" s="18"/>
      <x:c r="H47" s="10">
        <x:v>0.0</x:v>
      </x:c>
      <x:c r="I47" s="6" t="str">
        <x:f t="shared" si="1"/>
      </x:c>
      <x:c r="J47" s="10"/>
    </x:row>
    <x:row r="48" ht="13.5" customHeight="1">
      <x:c r="A48" s="6">
        <x:v>1.0</x:v>
      </x:c>
      <x:c r="B48" s="6" t="s">
        <x:v>101</x:v>
      </x:c>
      <x:c r="C48" s="6">
        <x:v>4.0</x:v>
      </x:c>
      <x:c r="D48" s="6">
        <x:v>44.0</x:v>
      </x:c>
      <x:c r="E48" s="6" t="str">
        <x:f>IFERROR(IF(VLOOKUP(D48,Giocatori!$A$4:$C$48,2,FALSE)&lt;&gt;"",VLOOKUP(D48,Giocatori!$A$4:$C$48,2,FALSE),"Giocatore "&amp;D48),"Giocatore "&amp;D48)</x:f>
        <x:v>Giocatore 44</x:v>
      </x:c>
      <x:c r="F48" s="18"/>
      <x:c r="G48" s="18"/>
      <x:c r="H48" s="10">
        <x:v>0.0</x:v>
      </x:c>
      <x:c r="I48" s="6" t="str">
        <x:f t="shared" si="1"/>
      </x:c>
      <x:c r="J48" s="10"/>
    </x:row>
    <x:row r="49" ht="13.5" customHeight="1">
      <x:c r="A49" s="6">
        <x:v>1.0</x:v>
      </x:c>
      <x:c r="B49" s="6" t="s">
        <x:v>101</x:v>
      </x:c>
      <x:c r="C49" s="6">
        <x:v>5.0</x:v>
      </x:c>
      <x:c r="D49" s="6">
        <x:v>45.0</x:v>
      </x:c>
      <x:c r="E49" s="6" t="str">
        <x:f>IFERROR(IF(VLOOKUP(D49,Giocatori!$A$4:$C$48,2,FALSE)&lt;&gt;"",VLOOKUP(D49,Giocatori!$A$4:$C$48,2,FALSE),"Giocatore "&amp;D49),"Giocatore "&amp;D49)</x:f>
        <x:v>Giocatore 45</x:v>
      </x:c>
      <x:c r="F49" s="18"/>
      <x:c r="G49" s="18"/>
      <x:c r="H49" s="10">
        <x:v>0.0</x:v>
      </x:c>
      <x:c r="I49" s="6" t="str">
        <x:f t="shared" si="1"/>
      </x:c>
      <x:c r="J49" s="10"/>
    </x:row>
    <x:row r="50" ht="13.5" customHeight="1">
      <x:c r="A50" s="6">
        <x:v>2.0</x:v>
      </x:c>
      <x:c r="B50" s="6" t="s">
        <x:v>90</x:v>
      </x:c>
      <x:c r="C50" s="6">
        <x:v>1.0</x:v>
      </x:c>
      <x:c r="D50" s="6">
        <x:v>1.0</x:v>
      </x:c>
      <x:c r="E50" s="6" t="str">
        <x:f>IFERROR(IF(VLOOKUP(D50,Giocatori!$A$4:$C$48,2,FALSE)&lt;&gt;"",VLOOKUP(D50,Giocatori!$A$4:$C$48,2,FALSE),"Giocatore "&amp;D50),"Giocatore "&amp;D50)</x:f>
        <x:v>Zio Raffaele</x:v>
      </x:c>
      <x:c r="F50" s="18"/>
      <x:c r="G50" s="18"/>
      <x:c r="H50" s="10">
        <x:v>0.0</x:v>
      </x:c>
      <x:c r="I50" s="6" t="str">
        <x:f t="shared" si="1"/>
      </x:c>
      <x:c r="J50" s="10"/>
    </x:row>
    <x:row r="51" ht="13.5" customHeight="1">
      <x:c r="A51" s="6">
        <x:v>2.0</x:v>
      </x:c>
      <x:c r="B51" s="6" t="s">
        <x:v>90</x:v>
      </x:c>
      <x:c r="C51" s="6">
        <x:v>2.0</x:v>
      </x:c>
      <x:c r="D51" s="6">
        <x:v>42.0</x:v>
      </x:c>
      <x:c r="E51" s="6" t="str">
        <x:f>IFERROR(IF(VLOOKUP(D51,Giocatori!$A$4:$C$48,2,FALSE)&lt;&gt;"",VLOOKUP(D51,Giocatori!$A$4:$C$48,2,FALSE),"Giocatore "&amp;D51),"Giocatore "&amp;D51)</x:f>
        <x:v>Giocatore 42</x:v>
      </x:c>
      <x:c r="F51" s="18"/>
      <x:c r="G51" s="18"/>
      <x:c r="H51" s="10">
        <x:v>0.0</x:v>
      </x:c>
      <x:c r="I51" s="6" t="str">
        <x:f t="shared" si="1"/>
      </x:c>
      <x:c r="J51" s="10"/>
    </x:row>
    <x:row r="52" ht="13.5" customHeight="1">
      <x:c r="A52" s="6">
        <x:v>2.0</x:v>
      </x:c>
      <x:c r="B52" s="6" t="s">
        <x:v>90</x:v>
      </x:c>
      <x:c r="C52" s="6">
        <x:v>3.0</x:v>
      </x:c>
      <x:c r="D52" s="6">
        <x:v>38.0</x:v>
      </x:c>
      <x:c r="E52" s="6" t="str">
        <x:f>IFERROR(IF(VLOOKUP(D52,Giocatori!$A$4:$C$48,2,FALSE)&lt;&gt;"",VLOOKUP(D52,Giocatori!$A$4:$C$48,2,FALSE),"Giocatore "&amp;D52),"Giocatore "&amp;D52)</x:f>
        <x:v>Giuseppe Pierro</x:v>
      </x:c>
      <x:c r="F52" s="18"/>
      <x:c r="G52" s="18"/>
      <x:c r="H52" s="10">
        <x:v>0.0</x:v>
      </x:c>
      <x:c r="I52" s="6" t="str">
        <x:f t="shared" si="1"/>
      </x:c>
      <x:c r="J52" s="10"/>
    </x:row>
    <x:row r="53" ht="13.5" customHeight="1">
      <x:c r="A53" s="6">
        <x:v>2.0</x:v>
      </x:c>
      <x:c r="B53" s="6" t="s">
        <x:v>90</x:v>
      </x:c>
      <x:c r="C53" s="6">
        <x:v>4.0</x:v>
      </x:c>
      <x:c r="D53" s="6">
        <x:v>34.0</x:v>
      </x:c>
      <x:c r="E53" s="6" t="str">
        <x:f>IFERROR(IF(VLOOKUP(D53,Giocatori!$A$4:$C$48,2,FALSE)&lt;&gt;"",VLOOKUP(D53,Giocatori!$A$4:$C$48,2,FALSE),"Giocatore "&amp;D53),"Giocatore "&amp;D53)</x:f>
        <x:v>Pasquale Marotta</x:v>
      </x:c>
      <x:c r="F53" s="18"/>
      <x:c r="G53" s="18"/>
      <x:c r="H53" s="10">
        <x:v>0.0</x:v>
      </x:c>
      <x:c r="I53" s="6" t="str">
        <x:f t="shared" si="1"/>
      </x:c>
      <x:c r="J53" s="10"/>
    </x:row>
    <x:row r="54" ht="13.5" customHeight="1">
      <x:c r="A54" s="6">
        <x:v>2.0</x:v>
      </x:c>
      <x:c r="B54" s="6" t="s">
        <x:v>90</x:v>
      </x:c>
      <x:c r="C54" s="6">
        <x:v>5.0</x:v>
      </x:c>
      <x:c r="D54" s="6">
        <x:v>30.0</x:v>
      </x:c>
      <x:c r="E54" s="6" t="str">
        <x:f>IFERROR(IF(VLOOKUP(D54,Giocatori!$A$4:$C$48,2,FALSE)&lt;&gt;"",VLOOKUP(D54,Giocatori!$A$4:$C$48,2,FALSE),"Giocatore "&amp;D54),"Giocatore "&amp;D54)</x:f>
        <x:v>Mauro Raffaele</x:v>
      </x:c>
      <x:c r="F54" s="18"/>
      <x:c r="G54" s="18"/>
      <x:c r="H54" s="10">
        <x:v>0.0</x:v>
      </x:c>
      <x:c r="I54" s="6" t="str">
        <x:f t="shared" si="1"/>
      </x:c>
      <x:c r="J54" s="10"/>
    </x:row>
    <x:row r="55" ht="13.5" customHeight="1">
      <x:c r="A55" s="6">
        <x:v>2.0</x:v>
      </x:c>
      <x:c r="B55" s="6" t="s">
        <x:v>91</x:v>
      </x:c>
      <x:c r="C55" s="6">
        <x:v>1.0</x:v>
      </x:c>
      <x:c r="D55" s="6">
        <x:v>6.0</x:v>
      </x:c>
      <x:c r="E55" s="6" t="str">
        <x:f>IFERROR(IF(VLOOKUP(D55,Giocatori!$A$4:$C$48,2,FALSE)&lt;&gt;"",VLOOKUP(D55,Giocatori!$A$4:$C$48,2,FALSE),"Giocatore "&amp;D55),"Giocatore "&amp;D55)</x:f>
        <x:v>Sommese Antonio</x:v>
      </x:c>
      <x:c r="F55" s="18"/>
      <x:c r="G55" s="18"/>
      <x:c r="H55" s="10">
        <x:v>0.0</x:v>
      </x:c>
      <x:c r="I55" s="6" t="str">
        <x:f t="shared" si="1"/>
      </x:c>
      <x:c r="J55" s="10"/>
    </x:row>
    <x:row r="56" ht="13.5" customHeight="1">
      <x:c r="A56" s="6">
        <x:v>2.0</x:v>
      </x:c>
      <x:c r="B56" s="6" t="s">
        <x:v>91</x:v>
      </x:c>
      <x:c r="C56" s="6">
        <x:v>2.0</x:v>
      </x:c>
      <x:c r="D56" s="6">
        <x:v>2.0</x:v>
      </x:c>
      <x:c r="E56" s="6" t="str">
        <x:f>IFERROR(IF(VLOOKUP(D56,Giocatori!$A$4:$C$48,2,FALSE)&lt;&gt;"",VLOOKUP(D56,Giocatori!$A$4:$C$48,2,FALSE),"Giocatore "&amp;D56),"Giocatore "&amp;D56)</x:f>
        <x:v>Nicola Mauro</x:v>
      </x:c>
      <x:c r="F56" s="18"/>
      <x:c r="G56" s="18"/>
      <x:c r="H56" s="10">
        <x:v>0.0</x:v>
      </x:c>
      <x:c r="I56" s="6" t="str">
        <x:f t="shared" si="1"/>
      </x:c>
      <x:c r="J56" s="10"/>
    </x:row>
    <x:row r="57" ht="13.5" customHeight="1">
      <x:c r="A57" s="6">
        <x:v>2.0</x:v>
      </x:c>
      <x:c r="B57" s="6" t="s">
        <x:v>91</x:v>
      </x:c>
      <x:c r="C57" s="6">
        <x:v>3.0</x:v>
      </x:c>
      <x:c r="D57" s="6">
        <x:v>43.0</x:v>
      </x:c>
      <x:c r="E57" s="6" t="str">
        <x:f>IFERROR(IF(VLOOKUP(D57,Giocatori!$A$4:$C$48,2,FALSE)&lt;&gt;"",VLOOKUP(D57,Giocatori!$A$4:$C$48,2,FALSE),"Giocatore "&amp;D57),"Giocatore "&amp;D57)</x:f>
        <x:v>Giocatore 43</x:v>
      </x:c>
      <x:c r="F57" s="18"/>
      <x:c r="G57" s="18"/>
      <x:c r="H57" s="10">
        <x:v>0.0</x:v>
      </x:c>
      <x:c r="I57" s="6" t="str">
        <x:f t="shared" si="1"/>
      </x:c>
      <x:c r="J57" s="10"/>
    </x:row>
    <x:row r="58" ht="13.5" customHeight="1">
      <x:c r="A58" s="6">
        <x:v>2.0</x:v>
      </x:c>
      <x:c r="B58" s="6" t="s">
        <x:v>91</x:v>
      </x:c>
      <x:c r="C58" s="6">
        <x:v>4.0</x:v>
      </x:c>
      <x:c r="D58" s="6">
        <x:v>39.0</x:v>
      </x:c>
      <x:c r="E58" s="6" t="str">
        <x:f>IFERROR(IF(VLOOKUP(D58,Giocatori!$A$4:$C$48,2,FALSE)&lt;&gt;"",VLOOKUP(D58,Giocatori!$A$4:$C$48,2,FALSE),"Giocatore "&amp;D58),"Giocatore "&amp;D58)</x:f>
        <x:v>La Marca Pasquale</x:v>
      </x:c>
      <x:c r="F58" s="18"/>
      <x:c r="G58" s="18"/>
      <x:c r="H58" s="10">
        <x:v>0.0</x:v>
      </x:c>
      <x:c r="I58" s="6" t="str">
        <x:f t="shared" si="1"/>
      </x:c>
      <x:c r="J58" s="10"/>
    </x:row>
    <x:row r="59" ht="13.5" customHeight="1">
      <x:c r="A59" s="6">
        <x:v>2.0</x:v>
      </x:c>
      <x:c r="B59" s="6" t="s">
        <x:v>91</x:v>
      </x:c>
      <x:c r="C59" s="6">
        <x:v>5.0</x:v>
      </x:c>
      <x:c r="D59" s="6">
        <x:v>35.0</x:v>
      </x:c>
      <x:c r="E59" s="6" t="str">
        <x:f>IFERROR(IF(VLOOKUP(D59,Giocatori!$A$4:$C$48,2,FALSE)&lt;&gt;"",VLOOKUP(D59,Giocatori!$A$4:$C$48,2,FALSE),"Giocatore "&amp;D59),"Giocatore "&amp;D59)</x:f>
        <x:v>Napolitano Raffaele</x:v>
      </x:c>
      <x:c r="F59" s="18"/>
      <x:c r="G59" s="18"/>
      <x:c r="H59" s="10">
        <x:v>0.0</x:v>
      </x:c>
      <x:c r="I59" s="6" t="str">
        <x:f t="shared" si="1"/>
      </x:c>
      <x:c r="J59" s="10"/>
    </x:row>
    <x:row r="60" ht="13.5" customHeight="1">
      <x:c r="A60" s="6">
        <x:v>2.0</x:v>
      </x:c>
      <x:c r="B60" s="6" t="s">
        <x:v>92</x:v>
      </x:c>
      <x:c r="C60" s="6">
        <x:v>1.0</x:v>
      </x:c>
      <x:c r="D60" s="6">
        <x:v>11.0</x:v>
      </x:c>
      <x:c r="E60" s="6" t="str">
        <x:f>IFERROR(IF(VLOOKUP(D60,Giocatori!$A$4:$C$48,2,FALSE)&lt;&gt;"",VLOOKUP(D60,Giocatori!$A$4:$C$48,2,FALSE),"Giocatore "&amp;D60),"Giocatore "&amp;D60)</x:f>
        <x:v>Moccia Biagio</x:v>
      </x:c>
      <x:c r="F60" s="18"/>
      <x:c r="G60" s="18"/>
      <x:c r="H60" s="10">
        <x:v>0.0</x:v>
      </x:c>
      <x:c r="I60" s="6" t="str">
        <x:f t="shared" si="1"/>
      </x:c>
      <x:c r="J60" s="10"/>
    </x:row>
    <x:row r="61" ht="13.5" customHeight="1">
      <x:c r="A61" s="6">
        <x:v>2.0</x:v>
      </x:c>
      <x:c r="B61" s="6" t="s">
        <x:v>92</x:v>
      </x:c>
      <x:c r="C61" s="6">
        <x:v>2.0</x:v>
      </x:c>
      <x:c r="D61" s="6">
        <x:v>7.0</x:v>
      </x:c>
      <x:c r="E61" s="6" t="str">
        <x:f>IFERROR(IF(VLOOKUP(D61,Giocatori!$A$4:$C$48,2,FALSE)&lt;&gt;"",VLOOKUP(D61,Giocatori!$A$4:$C$48,2,FALSE),"Giocatore "&amp;D61),"Giocatore "&amp;D61)</x:f>
        <x:v>Notaro massimo</x:v>
      </x:c>
      <x:c r="F61" s="18"/>
      <x:c r="G61" s="18"/>
      <x:c r="H61" s="10">
        <x:v>0.0</x:v>
      </x:c>
      <x:c r="I61" s="6" t="str">
        <x:f t="shared" si="1"/>
      </x:c>
      <x:c r="J61" s="10"/>
    </x:row>
    <x:row r="62" ht="13.5" customHeight="1">
      <x:c r="A62" s="6">
        <x:v>2.0</x:v>
      </x:c>
      <x:c r="B62" s="6" t="s">
        <x:v>92</x:v>
      </x:c>
      <x:c r="C62" s="6">
        <x:v>3.0</x:v>
      </x:c>
      <x:c r="D62" s="6">
        <x:v>3.0</x:v>
      </x:c>
      <x:c r="E62" s="6" t="str">
        <x:f>IFERROR(IF(VLOOKUP(D62,Giocatori!$A$4:$C$48,2,FALSE)&lt;&gt;"",VLOOKUP(D62,Giocatori!$A$4:$C$48,2,FALSE),"Giocatore "&amp;D62),"Giocatore "&amp;D62)</x:f>
        <x:v>Beracci Lucio</x:v>
      </x:c>
      <x:c r="F62" s="18"/>
      <x:c r="G62" s="18"/>
      <x:c r="H62" s="10">
        <x:v>0.0</x:v>
      </x:c>
      <x:c r="I62" s="6" t="str">
        <x:f t="shared" si="1"/>
      </x:c>
      <x:c r="J62" s="10"/>
    </x:row>
    <x:row r="63" ht="13.5" customHeight="1">
      <x:c r="A63" s="6">
        <x:v>2.0</x:v>
      </x:c>
      <x:c r="B63" s="6" t="s">
        <x:v>92</x:v>
      </x:c>
      <x:c r="C63" s="6">
        <x:v>4.0</x:v>
      </x:c>
      <x:c r="D63" s="6">
        <x:v>44.0</x:v>
      </x:c>
      <x:c r="E63" s="6" t="str">
        <x:f>IFERROR(IF(VLOOKUP(D63,Giocatori!$A$4:$C$48,2,FALSE)&lt;&gt;"",VLOOKUP(D63,Giocatori!$A$4:$C$48,2,FALSE),"Giocatore "&amp;D63),"Giocatore "&amp;D63)</x:f>
        <x:v>Giocatore 44</x:v>
      </x:c>
      <x:c r="F63" s="18"/>
      <x:c r="G63" s="18"/>
      <x:c r="H63" s="10">
        <x:v>0.0</x:v>
      </x:c>
      <x:c r="I63" s="6" t="str">
        <x:f t="shared" si="1"/>
      </x:c>
      <x:c r="J63" s="10"/>
    </x:row>
    <x:row r="64" ht="13.5" customHeight="1">
      <x:c r="A64" s="6">
        <x:v>2.0</x:v>
      </x:c>
      <x:c r="B64" s="6" t="s">
        <x:v>92</x:v>
      </x:c>
      <x:c r="C64" s="6">
        <x:v>5.0</x:v>
      </x:c>
      <x:c r="D64" s="6">
        <x:v>40.0</x:v>
      </x:c>
      <x:c r="E64" s="6" t="str">
        <x:f>IFERROR(IF(VLOOKUP(D64,Giocatori!$A$4:$C$48,2,FALSE)&lt;&gt;"",VLOOKUP(D64,Giocatori!$A$4:$C$48,2,FALSE),"Giocatore "&amp;D64),"Giocatore "&amp;D64)</x:f>
        <x:v>Ambrosino Michele</x:v>
      </x:c>
      <x:c r="F64" s="18"/>
      <x:c r="G64" s="18"/>
      <x:c r="H64" s="10">
        <x:v>0.0</x:v>
      </x:c>
      <x:c r="I64" s="6" t="str">
        <x:f t="shared" si="1"/>
      </x:c>
      <x:c r="J64" s="10"/>
    </x:row>
    <x:row r="65" ht="13.5" customHeight="1">
      <x:c r="A65" s="6">
        <x:v>2.0</x:v>
      </x:c>
      <x:c r="B65" s="6" t="s">
        <x:v>93</x:v>
      </x:c>
      <x:c r="C65" s="6">
        <x:v>1.0</x:v>
      </x:c>
      <x:c r="D65" s="6">
        <x:v>16.0</x:v>
      </x:c>
      <x:c r="E65" s="6" t="str">
        <x:f>IFERROR(IF(VLOOKUP(D65,Giocatori!$A$4:$C$48,2,FALSE)&lt;&gt;"",VLOOKUP(D65,Giocatori!$A$4:$C$48,2,FALSE),"Giocatore "&amp;D65),"Giocatore "&amp;D65)</x:f>
        <x:v>Iorio Raffaele</x:v>
      </x:c>
      <x:c r="F65" s="18"/>
      <x:c r="G65" s="18"/>
      <x:c r="H65" s="10">
        <x:v>0.0</x:v>
      </x:c>
      <x:c r="I65" s="6" t="str">
        <x:f t="shared" si="1"/>
      </x:c>
      <x:c r="J65" s="10"/>
    </x:row>
    <x:row r="66" ht="13.5" customHeight="1">
      <x:c r="A66" s="6">
        <x:v>2.0</x:v>
      </x:c>
      <x:c r="B66" s="6" t="s">
        <x:v>93</x:v>
      </x:c>
      <x:c r="C66" s="6">
        <x:v>2.0</x:v>
      </x:c>
      <x:c r="D66" s="6">
        <x:v>12.0</x:v>
      </x:c>
      <x:c r="E66" s="6" t="str">
        <x:f>IFERROR(IF(VLOOKUP(D66,Giocatori!$A$4:$C$48,2,FALSE)&lt;&gt;"",VLOOKUP(D66,Giocatori!$A$4:$C$48,2,FALSE),"Giocatore "&amp;D66),"Giocatore "&amp;D66)</x:f>
        <x:v>De Falco Andrea</x:v>
      </x:c>
      <x:c r="F66" s="18"/>
      <x:c r="G66" s="18"/>
      <x:c r="H66" s="10">
        <x:v>0.0</x:v>
      </x:c>
      <x:c r="I66" s="6" t="str">
        <x:f t="shared" si="1"/>
      </x:c>
      <x:c r="J66" s="10"/>
    </x:row>
    <x:row r="67" ht="13.5" customHeight="1">
      <x:c r="A67" s="6">
        <x:v>2.0</x:v>
      </x:c>
      <x:c r="B67" s="6" t="s">
        <x:v>93</x:v>
      </x:c>
      <x:c r="C67" s="6">
        <x:v>3.0</x:v>
      </x:c>
      <x:c r="D67" s="6">
        <x:v>8.0</x:v>
      </x:c>
      <x:c r="E67" s="6" t="str">
        <x:f>IFERROR(IF(VLOOKUP(D67,Giocatori!$A$4:$C$48,2,FALSE)&lt;&gt;"",VLOOKUP(D67,Giocatori!$A$4:$C$48,2,FALSE),"Giocatore "&amp;D67),"Giocatore "&amp;D67)</x:f>
        <x:v>Beracci Benedetto</x:v>
      </x:c>
      <x:c r="F67" s="18"/>
      <x:c r="G67" s="18"/>
      <x:c r="H67" s="10">
        <x:v>0.0</x:v>
      </x:c>
      <x:c r="I67" s="6" t="str">
        <x:f t="shared" si="1"/>
      </x:c>
      <x:c r="J67" s="10"/>
    </x:row>
    <x:row r="68" ht="13.5" customHeight="1">
      <x:c r="A68" s="6">
        <x:v>2.0</x:v>
      </x:c>
      <x:c r="B68" s="6" t="s">
        <x:v>93</x:v>
      </x:c>
      <x:c r="C68" s="6">
        <x:v>4.0</x:v>
      </x:c>
      <x:c r="D68" s="6">
        <x:v>4.0</x:v>
      </x:c>
      <x:c r="E68" s="6" t="str">
        <x:f>IFERROR(IF(VLOOKUP(D68,Giocatori!$A$4:$C$48,2,FALSE)&lt;&gt;"",VLOOKUP(D68,Giocatori!$A$4:$C$48,2,FALSE),"Giocatore "&amp;D68),"Giocatore "&amp;D68)</x:f>
        <x:v>Annunziata Michele</x:v>
      </x:c>
      <x:c r="F68" s="18"/>
      <x:c r="G68" s="18"/>
      <x:c r="H68" s="10">
        <x:v>0.0</x:v>
      </x:c>
      <x:c r="I68" s="6" t="str">
        <x:f t="shared" si="1"/>
      </x:c>
      <x:c r="J68" s="10"/>
    </x:row>
    <x:row r="69" ht="13.5" customHeight="1">
      <x:c r="A69" s="6">
        <x:v>2.0</x:v>
      </x:c>
      <x:c r="B69" s="6" t="s">
        <x:v>93</x:v>
      </x:c>
      <x:c r="C69" s="6">
        <x:v>5.0</x:v>
      </x:c>
      <x:c r="D69" s="6">
        <x:v>45.0</x:v>
      </x:c>
      <x:c r="E69" s="6" t="str">
        <x:f>IFERROR(IF(VLOOKUP(D69,Giocatori!$A$4:$C$48,2,FALSE)&lt;&gt;"",VLOOKUP(D69,Giocatori!$A$4:$C$48,2,FALSE),"Giocatore "&amp;D69),"Giocatore "&amp;D69)</x:f>
        <x:v>Giocatore 45</x:v>
      </x:c>
      <x:c r="F69" s="18"/>
      <x:c r="G69" s="18"/>
      <x:c r="H69" s="10">
        <x:v>0.0</x:v>
      </x:c>
      <x:c r="I69" s="6" t="str">
        <x:f t="shared" si="1"/>
      </x:c>
      <x:c r="J69" s="10"/>
    </x:row>
    <x:row r="70" ht="13.5" customHeight="1">
      <x:c r="A70" s="6">
        <x:v>2.0</x:v>
      </x:c>
      <x:c r="B70" s="6" t="s">
        <x:v>94</x:v>
      </x:c>
      <x:c r="C70" s="6">
        <x:v>1.0</x:v>
      </x:c>
      <x:c r="D70" s="6">
        <x:v>21.0</x:v>
      </x:c>
      <x:c r="E70" s="6" t="str">
        <x:f>IFERROR(IF(VLOOKUP(D70,Giocatori!$A$4:$C$48,2,FALSE)&lt;&gt;"",VLOOKUP(D70,Giocatori!$A$4:$C$48,2,FALSE),"Giocatore "&amp;D70),"Giocatore "&amp;D70)</x:f>
        <x:v>Mauro Candice</x:v>
      </x:c>
      <x:c r="F70" s="18"/>
      <x:c r="G70" s="18"/>
      <x:c r="H70" s="10">
        <x:v>0.0</x:v>
      </x:c>
      <x:c r="I70" s="6" t="str">
        <x:f t="shared" si="1"/>
      </x:c>
      <x:c r="J70" s="10"/>
    </x:row>
    <x:row r="71" ht="13.5" customHeight="1">
      <x:c r="A71" s="6">
        <x:v>2.0</x:v>
      </x:c>
      <x:c r="B71" s="6" t="s">
        <x:v>94</x:v>
      </x:c>
      <x:c r="C71" s="6">
        <x:v>2.0</x:v>
      </x:c>
      <x:c r="D71" s="6">
        <x:v>17.0</x:v>
      </x:c>
      <x:c r="E71" s="6" t="str">
        <x:f>IFERROR(IF(VLOOKUP(D71,Giocatori!$A$4:$C$48,2,FALSE)&lt;&gt;"",VLOOKUP(D71,Giocatori!$A$4:$C$48,2,FALSE),"Giocatore "&amp;D71),"Giocatore "&amp;D71)</x:f>
        <x:v>Scogliamiglio Alfredo</x:v>
      </x:c>
      <x:c r="F71" s="18"/>
      <x:c r="G71" s="18"/>
      <x:c r="H71" s="10">
        <x:v>0.0</x:v>
      </x:c>
      <x:c r="I71" s="6" t="str">
        <x:f t="shared" si="1"/>
      </x:c>
      <x:c r="J71" s="10"/>
    </x:row>
    <x:row r="72" ht="13.5" customHeight="1">
      <x:c r="A72" s="6">
        <x:v>2.0</x:v>
      </x:c>
      <x:c r="B72" s="6" t="s">
        <x:v>94</x:v>
      </x:c>
      <x:c r="C72" s="6">
        <x:v>3.0</x:v>
      </x:c>
      <x:c r="D72" s="6">
        <x:v>13.0</x:v>
      </x:c>
      <x:c r="E72" s="6" t="str">
        <x:f>IFERROR(IF(VLOOKUP(D72,Giocatori!$A$4:$C$48,2,FALSE)&lt;&gt;"",VLOOKUP(D72,Giocatori!$A$4:$C$48,2,FALSE),"Giocatore "&amp;D72),"Giocatore "&amp;D72)</x:f>
        <x:v>Corbo Alessandro</x:v>
      </x:c>
      <x:c r="F72" s="18"/>
      <x:c r="G72" s="18"/>
      <x:c r="H72" s="10">
        <x:v>0.0</x:v>
      </x:c>
      <x:c r="I72" s="6" t="str">
        <x:f t="shared" si="1"/>
      </x:c>
      <x:c r="J72" s="10"/>
    </x:row>
    <x:row r="73" ht="13.5" customHeight="1">
      <x:c r="A73" s="6">
        <x:v>2.0</x:v>
      </x:c>
      <x:c r="B73" s="6" t="s">
        <x:v>94</x:v>
      </x:c>
      <x:c r="C73" s="6">
        <x:v>4.0</x:v>
      </x:c>
      <x:c r="D73" s="6">
        <x:v>9.0</x:v>
      </x:c>
      <x:c r="E73" s="6" t="str">
        <x:f>IFERROR(IF(VLOOKUP(D73,Giocatori!$A$4:$C$48,2,FALSE)&lt;&gt;"",VLOOKUP(D73,Giocatori!$A$4:$C$48,2,FALSE),"Giocatore "&amp;D73),"Giocatore "&amp;D73)</x:f>
        <x:v>Atria Gregorio</x:v>
      </x:c>
      <x:c r="F73" s="18"/>
      <x:c r="G73" s="18"/>
      <x:c r="H73" s="10">
        <x:v>0.0</x:v>
      </x:c>
      <x:c r="I73" s="6" t="str">
        <x:f t="shared" si="1"/>
      </x:c>
      <x:c r="J73" s="10"/>
    </x:row>
    <x:row r="74" ht="13.5" customHeight="1">
      <x:c r="A74" s="6">
        <x:v>2.0</x:v>
      </x:c>
      <x:c r="B74" s="6" t="s">
        <x:v>94</x:v>
      </x:c>
      <x:c r="C74" s="6">
        <x:v>5.0</x:v>
      </x:c>
      <x:c r="D74" s="6">
        <x:v>5.0</x:v>
      </x:c>
      <x:c r="E74" s="6" t="str">
        <x:f>IFERROR(IF(VLOOKUP(D74,Giocatori!$A$4:$C$48,2,FALSE)&lt;&gt;"",VLOOKUP(D74,Giocatori!$A$4:$C$48,2,FALSE),"Giocatore "&amp;D74),"Giocatore "&amp;D74)</x:f>
        <x:v>La Marca Carlo</x:v>
      </x:c>
      <x:c r="F74" s="18"/>
      <x:c r="G74" s="18"/>
      <x:c r="H74" s="10">
        <x:v>0.0</x:v>
      </x:c>
      <x:c r="I74" s="6" t="str">
        <x:f t="shared" si="1"/>
      </x:c>
      <x:c r="J74" s="10"/>
    </x:row>
    <x:row r="75" ht="13.5" customHeight="1">
      <x:c r="A75" s="6">
        <x:v>2.0</x:v>
      </x:c>
      <x:c r="B75" s="6" t="s">
        <x:v>95</x:v>
      </x:c>
      <x:c r="C75" s="6">
        <x:v>1.0</x:v>
      </x:c>
      <x:c r="D75" s="6">
        <x:v>26.0</x:v>
      </x:c>
      <x:c r="E75" s="6" t="str">
        <x:f>IFERROR(IF(VLOOKUP(D75,Giocatori!$A$4:$C$48,2,FALSE)&lt;&gt;"",VLOOKUP(D75,Giocatori!$A$4:$C$48,2,FALSE),"Giocatore "&amp;D75),"Giocatore "&amp;D75)</x:f>
        <x:v>La Marca Franco</x:v>
      </x:c>
      <x:c r="F75" s="18"/>
      <x:c r="G75" s="18"/>
      <x:c r="H75" s="10">
        <x:v>0.0</x:v>
      </x:c>
      <x:c r="I75" s="6" t="str">
        <x:f t="shared" si="1"/>
      </x:c>
      <x:c r="J75" s="10"/>
    </x:row>
    <x:row r="76" ht="13.5" customHeight="1">
      <x:c r="A76" s="6">
        <x:v>2.0</x:v>
      </x:c>
      <x:c r="B76" s="6" t="s">
        <x:v>95</x:v>
      </x:c>
      <x:c r="C76" s="6">
        <x:v>2.0</x:v>
      </x:c>
      <x:c r="D76" s="6">
        <x:v>22.0</x:v>
      </x:c>
      <x:c r="E76" s="6" t="str">
        <x:f>IFERROR(IF(VLOOKUP(D76,Giocatori!$A$4:$C$48,2,FALSE)&lt;&gt;"",VLOOKUP(D76,Giocatori!$A$4:$C$48,2,FALSE),"Giocatore "&amp;D76),"Giocatore "&amp;D76)</x:f>
        <x:v>Michele Zappone</x:v>
      </x:c>
      <x:c r="F76" s="18"/>
      <x:c r="G76" s="18"/>
      <x:c r="H76" s="10">
        <x:v>0.0</x:v>
      </x:c>
      <x:c r="I76" s="6" t="str">
        <x:f t="shared" si="1"/>
      </x:c>
      <x:c r="J76" s="10"/>
    </x:row>
    <x:row r="77" ht="13.5" customHeight="1">
      <x:c r="A77" s="6">
        <x:v>2.0</x:v>
      </x:c>
      <x:c r="B77" s="6" t="s">
        <x:v>95</x:v>
      </x:c>
      <x:c r="C77" s="6">
        <x:v>3.0</x:v>
      </x:c>
      <x:c r="D77" s="6">
        <x:v>18.0</x:v>
      </x:c>
      <x:c r="E77" s="6" t="str">
        <x:f>IFERROR(IF(VLOOKUP(D77,Giocatori!$A$4:$C$48,2,FALSE)&lt;&gt;"",VLOOKUP(D77,Giocatori!$A$4:$C$48,2,FALSE),"Giocatore "&amp;D77),"Giocatore "&amp;D77)</x:f>
        <x:v>Cafarelli Manolo</x:v>
      </x:c>
      <x:c r="F77" s="18"/>
      <x:c r="G77" s="18"/>
      <x:c r="H77" s="10">
        <x:v>0.0</x:v>
      </x:c>
      <x:c r="I77" s="6" t="str">
        <x:f t="shared" si="1"/>
      </x:c>
      <x:c r="J77" s="10"/>
    </x:row>
    <x:row r="78" ht="13.5" customHeight="1">
      <x:c r="A78" s="6">
        <x:v>2.0</x:v>
      </x:c>
      <x:c r="B78" s="6" t="s">
        <x:v>95</x:v>
      </x:c>
      <x:c r="C78" s="6">
        <x:v>4.0</x:v>
      </x:c>
      <x:c r="D78" s="6">
        <x:v>14.0</x:v>
      </x:c>
      <x:c r="E78" s="6" t="str">
        <x:f>IFERROR(IF(VLOOKUP(D78,Giocatori!$A$4:$C$48,2,FALSE)&lt;&gt;"",VLOOKUP(D78,Giocatori!$A$4:$C$48,2,FALSE),"Giocatore "&amp;D78),"Giocatore "&amp;D78)</x:f>
        <x:v>Botta Francesco</x:v>
      </x:c>
      <x:c r="F78" s="18"/>
      <x:c r="G78" s="18"/>
      <x:c r="H78" s="10">
        <x:v>0.0</x:v>
      </x:c>
      <x:c r="I78" s="6" t="str">
        <x:f t="shared" si="1"/>
      </x:c>
      <x:c r="J78" s="10"/>
    </x:row>
    <x:row r="79" ht="13.5" customHeight="1">
      <x:c r="A79" s="6">
        <x:v>2.0</x:v>
      </x:c>
      <x:c r="B79" s="6" t="s">
        <x:v>95</x:v>
      </x:c>
      <x:c r="C79" s="6">
        <x:v>5.0</x:v>
      </x:c>
      <x:c r="D79" s="6">
        <x:v>10.0</x:v>
      </x:c>
      <x:c r="E79" s="6" t="str">
        <x:f>IFERROR(IF(VLOOKUP(D79,Giocatori!$A$4:$C$48,2,FALSE)&lt;&gt;"",VLOOKUP(D79,Giocatori!$A$4:$C$48,2,FALSE),"Giocatore "&amp;D79),"Giocatore "&amp;D79)</x:f>
        <x:v>Caliendo Nunzio</x:v>
      </x:c>
      <x:c r="F79" s="18"/>
      <x:c r="G79" s="18"/>
      <x:c r="H79" s="10">
        <x:v>0.0</x:v>
      </x:c>
      <x:c r="I79" s="6" t="str">
        <x:f t="shared" si="1"/>
      </x:c>
      <x:c r="J79" s="10"/>
    </x:row>
    <x:row r="80" ht="13.5" customHeight="1">
      <x:c r="A80" s="6">
        <x:v>2.0</x:v>
      </x:c>
      <x:c r="B80" s="6" t="s">
        <x:v>96</x:v>
      </x:c>
      <x:c r="C80" s="6">
        <x:v>1.0</x:v>
      </x:c>
      <x:c r="D80" s="6">
        <x:v>31.0</x:v>
      </x:c>
      <x:c r="E80" s="6" t="str">
        <x:f>IFERROR(IF(VLOOKUP(D80,Giocatori!$A$4:$C$48,2,FALSE)&lt;&gt;"",VLOOKUP(D80,Giocatori!$A$4:$C$48,2,FALSE),"Giocatore "&amp;D80),"Giocatore "&amp;D80)</x:f>
        <x:v>Anna Angiero</x:v>
      </x:c>
      <x:c r="F80" s="18"/>
      <x:c r="G80" s="18"/>
      <x:c r="H80" s="10">
        <x:v>0.0</x:v>
      </x:c>
      <x:c r="I80" s="6" t="str">
        <x:f t="shared" si="1"/>
      </x:c>
      <x:c r="J80" s="10"/>
    </x:row>
    <x:row r="81" ht="13.5" customHeight="1">
      <x:c r="A81" s="6">
        <x:v>2.0</x:v>
      </x:c>
      <x:c r="B81" s="6" t="s">
        <x:v>96</x:v>
      </x:c>
      <x:c r="C81" s="6">
        <x:v>2.0</x:v>
      </x:c>
      <x:c r="D81" s="6">
        <x:v>27.0</x:v>
      </x:c>
      <x:c r="E81" s="6" t="str">
        <x:f>IFERROR(IF(VLOOKUP(D81,Giocatori!$A$4:$C$48,2,FALSE)&lt;&gt;"",VLOOKUP(D81,Giocatori!$A$4:$C$48,2,FALSE),"Giocatore "&amp;D81),"Giocatore "&amp;D81)</x:f>
        <x:v>Tufano Michele</x:v>
      </x:c>
      <x:c r="F81" s="18"/>
      <x:c r="G81" s="18"/>
      <x:c r="H81" s="10">
        <x:v>0.0</x:v>
      </x:c>
      <x:c r="I81" s="6" t="str">
        <x:f t="shared" si="1"/>
      </x:c>
      <x:c r="J81" s="10"/>
    </x:row>
    <x:row r="82" ht="13.5" customHeight="1">
      <x:c r="A82" s="6">
        <x:v>2.0</x:v>
      </x:c>
      <x:c r="B82" s="6" t="s">
        <x:v>96</x:v>
      </x:c>
      <x:c r="C82" s="6">
        <x:v>3.0</x:v>
      </x:c>
      <x:c r="D82" s="6">
        <x:v>23.0</x:v>
      </x:c>
      <x:c r="E82" s="6" t="str">
        <x:f>IFERROR(IF(VLOOKUP(D82,Giocatori!$A$4:$C$48,2,FALSE)&lt;&gt;"",VLOOKUP(D82,Giocatori!$A$4:$C$48,2,FALSE),"Giocatore "&amp;D82),"Giocatore "&amp;D82)</x:f>
        <x:v>Amato Alessandro</x:v>
      </x:c>
      <x:c r="F82" s="18"/>
      <x:c r="G82" s="18"/>
      <x:c r="H82" s="10">
        <x:v>0.0</x:v>
      </x:c>
      <x:c r="I82" s="6" t="str">
        <x:f t="shared" si="1"/>
      </x:c>
      <x:c r="J82" s="10"/>
    </x:row>
    <x:row r="83" ht="13.5" customHeight="1">
      <x:c r="A83" s="6">
        <x:v>2.0</x:v>
      </x:c>
      <x:c r="B83" s="6" t="s">
        <x:v>96</x:v>
      </x:c>
      <x:c r="C83" s="6">
        <x:v>4.0</x:v>
      </x:c>
      <x:c r="D83" s="6">
        <x:v>19.0</x:v>
      </x:c>
      <x:c r="E83" s="6" t="str">
        <x:f>IFERROR(IF(VLOOKUP(D83,Giocatori!$A$4:$C$48,2,FALSE)&lt;&gt;"",VLOOKUP(D83,Giocatori!$A$4:$C$48,2,FALSE),"Giocatore "&amp;D83),"Giocatore "&amp;D83)</x:f>
        <x:v>Fuschillo Franco</x:v>
      </x:c>
      <x:c r="F83" s="18"/>
      <x:c r="G83" s="18"/>
      <x:c r="H83" s="10">
        <x:v>0.0</x:v>
      </x:c>
      <x:c r="I83" s="6" t="str">
        <x:f t="shared" si="1"/>
      </x:c>
      <x:c r="J83" s="10"/>
    </x:row>
    <x:row r="84" ht="13.5" customHeight="1">
      <x:c r="A84" s="6">
        <x:v>2.0</x:v>
      </x:c>
      <x:c r="B84" s="6" t="s">
        <x:v>96</x:v>
      </x:c>
      <x:c r="C84" s="6">
        <x:v>5.0</x:v>
      </x:c>
      <x:c r="D84" s="6">
        <x:v>15.0</x:v>
      </x:c>
      <x:c r="E84" s="6" t="str">
        <x:f>IFERROR(IF(VLOOKUP(D84,Giocatori!$A$4:$C$48,2,FALSE)&lt;&gt;"",VLOOKUP(D84,Giocatori!$A$4:$C$48,2,FALSE),"Giocatore "&amp;D84),"Giocatore "&amp;D84)</x:f>
        <x:v>Tufano Antonio</x:v>
      </x:c>
      <x:c r="F84" s="18"/>
      <x:c r="G84" s="18"/>
      <x:c r="H84" s="10">
        <x:v>0.0</x:v>
      </x:c>
      <x:c r="I84" s="6" t="str">
        <x:f t="shared" si="1"/>
      </x:c>
      <x:c r="J84" s="10"/>
    </x:row>
    <x:row r="85" ht="13.5" customHeight="1">
      <x:c r="A85" s="6">
        <x:v>2.0</x:v>
      </x:c>
      <x:c r="B85" s="6" t="s">
        <x:v>99</x:v>
      </x:c>
      <x:c r="C85" s="6">
        <x:v>1.0</x:v>
      </x:c>
      <x:c r="D85" s="6">
        <x:v>36.0</x:v>
      </x:c>
      <x:c r="E85" s="6" t="str">
        <x:f>IFERROR(IF(VLOOKUP(D85,Giocatori!$A$4:$C$48,2,FALSE)&lt;&gt;"",VLOOKUP(D85,Giocatori!$A$4:$C$48,2,FALSE),"Giocatore "&amp;D85),"Giocatore "&amp;D85)</x:f>
        <x:v>Perretta Maurizio</x:v>
      </x:c>
      <x:c r="F85" s="18"/>
      <x:c r="G85" s="18"/>
      <x:c r="H85" s="10">
        <x:v>0.0</x:v>
      </x:c>
      <x:c r="I85" s="6" t="str">
        <x:f t="shared" si="1"/>
      </x:c>
      <x:c r="J85" s="10"/>
    </x:row>
    <x:row r="86" ht="13.5" customHeight="1">
      <x:c r="A86" s="6">
        <x:v>2.0</x:v>
      </x:c>
      <x:c r="B86" s="6" t="s">
        <x:v>99</x:v>
      </x:c>
      <x:c r="C86" s="6">
        <x:v>2.0</x:v>
      </x:c>
      <x:c r="D86" s="6">
        <x:v>32.0</x:v>
      </x:c>
      <x:c r="E86" s="6" t="str">
        <x:f>IFERROR(IF(VLOOKUP(D86,Giocatori!$A$4:$C$48,2,FALSE)&lt;&gt;"",VLOOKUP(D86,Giocatori!$A$4:$C$48,2,FALSE),"Giocatore "&amp;D86),"Giocatore "&amp;D86)</x:f>
        <x:v>Notaro Giacomo</x:v>
      </x:c>
      <x:c r="F86" s="18"/>
      <x:c r="G86" s="18"/>
      <x:c r="H86" s="10">
        <x:v>0.0</x:v>
      </x:c>
      <x:c r="I86" s="6" t="str">
        <x:f t="shared" si="1"/>
      </x:c>
      <x:c r="J86" s="10"/>
    </x:row>
    <x:row r="87" ht="13.5" customHeight="1">
      <x:c r="A87" s="6">
        <x:v>2.0</x:v>
      </x:c>
      <x:c r="B87" s="6" t="s">
        <x:v>99</x:v>
      </x:c>
      <x:c r="C87" s="6">
        <x:v>3.0</x:v>
      </x:c>
      <x:c r="D87" s="6">
        <x:v>28.0</x:v>
      </x:c>
      <x:c r="E87" s="6" t="str">
        <x:f>IFERROR(IF(VLOOKUP(D87,Giocatori!$A$4:$C$48,2,FALSE)&lt;&gt;"",VLOOKUP(D87,Giocatori!$A$4:$C$48,2,FALSE),"Giocatore "&amp;D87),"Giocatore "&amp;D87)</x:f>
        <x:v>Ambrosino Raffaele</x:v>
      </x:c>
      <x:c r="F87" s="18"/>
      <x:c r="G87" s="18"/>
      <x:c r="H87" s="10">
        <x:v>0.0</x:v>
      </x:c>
      <x:c r="I87" s="6" t="str">
        <x:f t="shared" si="1"/>
      </x:c>
      <x:c r="J87" s="10"/>
    </x:row>
    <x:row r="88" ht="13.5" customHeight="1">
      <x:c r="A88" s="6">
        <x:v>2.0</x:v>
      </x:c>
      <x:c r="B88" s="6" t="s">
        <x:v>99</x:v>
      </x:c>
      <x:c r="C88" s="6">
        <x:v>4.0</x:v>
      </x:c>
      <x:c r="D88" s="6">
        <x:v>24.0</x:v>
      </x:c>
      <x:c r="E88" s="6" t="str">
        <x:f>IFERROR(IF(VLOOKUP(D88,Giocatori!$A$4:$C$48,2,FALSE)&lt;&gt;"",VLOOKUP(D88,Giocatori!$A$4:$C$48,2,FALSE),"Giocatore "&amp;D88),"Giocatore "&amp;D88)</x:f>
        <x:v>Napolitano Pasquale</x:v>
      </x:c>
      <x:c r="F88" s="18"/>
      <x:c r="G88" s="18"/>
      <x:c r="H88" s="10">
        <x:v>0.0</x:v>
      </x:c>
      <x:c r="I88" s="6" t="str">
        <x:f t="shared" si="1"/>
      </x:c>
      <x:c r="J88" s="10"/>
    </x:row>
    <x:row r="89" ht="13.5" customHeight="1">
      <x:c r="A89" s="6">
        <x:v>2.0</x:v>
      </x:c>
      <x:c r="B89" s="6" t="s">
        <x:v>99</x:v>
      </x:c>
      <x:c r="C89" s="6">
        <x:v>5.0</x:v>
      </x:c>
      <x:c r="D89" s="6">
        <x:v>20.0</x:v>
      </x:c>
      <x:c r="E89" s="6" t="str">
        <x:f>IFERROR(IF(VLOOKUP(D89,Giocatori!$A$4:$C$48,2,FALSE)&lt;&gt;"",VLOOKUP(D89,Giocatori!$A$4:$C$48,2,FALSE),"Giocatore "&amp;D89),"Giocatore "&amp;D89)</x:f>
        <x:v>Di Grazia Salvatore</x:v>
      </x:c>
      <x:c r="F89" s="18"/>
      <x:c r="G89" s="18"/>
      <x:c r="H89" s="10">
        <x:v>0.0</x:v>
      </x:c>
      <x:c r="I89" s="6" t="str">
        <x:f t="shared" si="1"/>
      </x:c>
      <x:c r="J89" s="10"/>
    </x:row>
    <x:row r="90" ht="13.5" customHeight="1">
      <x:c r="A90" s="6">
        <x:v>2.0</x:v>
      </x:c>
      <x:c r="B90" s="6" t="s">
        <x:v>101</x:v>
      </x:c>
      <x:c r="C90" s="6">
        <x:v>1.0</x:v>
      </x:c>
      <x:c r="D90" s="6">
        <x:v>41.0</x:v>
      </x:c>
      <x:c r="E90" s="6" t="str">
        <x:f>IFERROR(IF(VLOOKUP(D90,Giocatori!$A$4:$C$48,2,FALSE)&lt;&gt;"",VLOOKUP(D90,Giocatori!$A$4:$C$48,2,FALSE),"Giocatore "&amp;D90),"Giocatore "&amp;D90)</x:f>
        <x:v>Giocatore 41</x:v>
      </x:c>
      <x:c r="F90" s="18"/>
      <x:c r="G90" s="18"/>
      <x:c r="H90" s="10">
        <x:v>0.0</x:v>
      </x:c>
      <x:c r="I90" s="6" t="str">
        <x:f t="shared" si="1"/>
      </x:c>
      <x:c r="J90" s="10"/>
    </x:row>
    <x:row r="91" ht="13.5" customHeight="1">
      <x:c r="A91" s="6">
        <x:v>2.0</x:v>
      </x:c>
      <x:c r="B91" s="6" t="s">
        <x:v>101</x:v>
      </x:c>
      <x:c r="C91" s="6">
        <x:v>2.0</x:v>
      </x:c>
      <x:c r="D91" s="6">
        <x:v>37.0</x:v>
      </x:c>
      <x:c r="E91" s="6" t="str">
        <x:f>IFERROR(IF(VLOOKUP(D91,Giocatori!$A$4:$C$48,2,FALSE)&lt;&gt;"",VLOOKUP(D91,Giocatori!$A$4:$C$48,2,FALSE),"Giocatore "&amp;D91),"Giocatore "&amp;D91)</x:f>
        <x:v>Annunziata Raffaele</x:v>
      </x:c>
      <x:c r="F91" s="18"/>
      <x:c r="G91" s="18"/>
      <x:c r="H91" s="10">
        <x:v>0.0</x:v>
      </x:c>
      <x:c r="I91" s="6" t="str">
        <x:f t="shared" si="1"/>
      </x:c>
      <x:c r="J91" s="10"/>
    </x:row>
    <x:row r="92" ht="13.5" customHeight="1">
      <x:c r="A92" s="6">
        <x:v>2.0</x:v>
      </x:c>
      <x:c r="B92" s="6" t="s">
        <x:v>101</x:v>
      </x:c>
      <x:c r="C92" s="6">
        <x:v>3.0</x:v>
      </x:c>
      <x:c r="D92" s="6">
        <x:v>33.0</x:v>
      </x:c>
      <x:c r="E92" s="6" t="str">
        <x:f>IFERROR(IF(VLOOKUP(D92,Giocatori!$A$4:$C$48,2,FALSE)&lt;&gt;"",VLOOKUP(D92,Giocatori!$A$4:$C$48,2,FALSE),"Giocatore "&amp;D92),"Giocatore "&amp;D92)</x:f>
        <x:v>Nappi Nestore</x:v>
      </x:c>
      <x:c r="F92" s="18"/>
      <x:c r="G92" s="18"/>
      <x:c r="H92" s="10">
        <x:v>0.0</x:v>
      </x:c>
      <x:c r="I92" s="6" t="str">
        <x:f t="shared" si="1"/>
      </x:c>
      <x:c r="J92" s="10"/>
    </x:row>
    <x:row r="93" ht="13.5" customHeight="1">
      <x:c r="A93" s="6">
        <x:v>2.0</x:v>
      </x:c>
      <x:c r="B93" s="6" t="s">
        <x:v>101</x:v>
      </x:c>
      <x:c r="C93" s="6">
        <x:v>4.0</x:v>
      </x:c>
      <x:c r="D93" s="6">
        <x:v>29.0</x:v>
      </x:c>
      <x:c r="E93" s="6" t="str">
        <x:f>IFERROR(IF(VLOOKUP(D93,Giocatori!$A$4:$C$48,2,FALSE)&lt;&gt;"",VLOOKUP(D93,Giocatori!$A$4:$C$48,2,FALSE),"Giocatore "&amp;D93),"Giocatore "&amp;D93)</x:f>
        <x:v>Tufano Giovanni</x:v>
      </x:c>
      <x:c r="F93" s="18"/>
      <x:c r="G93" s="18"/>
      <x:c r="H93" s="10">
        <x:v>0.0</x:v>
      </x:c>
      <x:c r="I93" s="6" t="str">
        <x:f t="shared" si="1"/>
      </x:c>
      <x:c r="J93" s="10"/>
    </x:row>
    <x:row r="94" ht="13.5" customHeight="1">
      <x:c r="A94" s="6">
        <x:v>2.0</x:v>
      </x:c>
      <x:c r="B94" s="6" t="s">
        <x:v>101</x:v>
      </x:c>
      <x:c r="C94" s="6">
        <x:v>5.0</x:v>
      </x:c>
      <x:c r="D94" s="6">
        <x:v>25.0</x:v>
      </x:c>
      <x:c r="E94" s="6" t="str">
        <x:f>IFERROR(IF(VLOOKUP(D94,Giocatori!$A$4:$C$48,2,FALSE)&lt;&gt;"",VLOOKUP(D94,Giocatori!$A$4:$C$48,2,FALSE),"Giocatore "&amp;D94),"Giocatore "&amp;D94)</x:f>
        <x:v>Fontanella Giuseppe</x:v>
      </x:c>
      <x:c r="F94" s="18"/>
      <x:c r="G94" s="18"/>
      <x:c r="H94" s="10">
        <x:v>0.0</x:v>
      </x:c>
      <x:c r="I94" s="6" t="str">
        <x:f t="shared" si="1"/>
      </x:c>
      <x:c r="J94" s="10"/>
    </x:row>
    <x:row r="95" ht="13.5" customHeight="1">
      <x:c r="A95" s="6">
        <x:v>3.0</x:v>
      </x:c>
      <x:c r="B95" s="6" t="s">
        <x:v>90</x:v>
      </x:c>
      <x:c r="C95" s="6">
        <x:v>1.0</x:v>
      </x:c>
      <x:c r="D95" s="6">
        <x:v>1.0</x:v>
      </x:c>
      <x:c r="E95" s="6" t="str">
        <x:f>IFERROR(IF(VLOOKUP(D95,Giocatori!$A$4:$C$48,2,FALSE)&lt;&gt;"",VLOOKUP(D95,Giocatori!$A$4:$C$48,2,FALSE),"Giocatore "&amp;D95),"Giocatore "&amp;D95)</x:f>
        <x:v>Zio Raffaele</x:v>
      </x:c>
      <x:c r="F95" s="18"/>
      <x:c r="G95" s="18"/>
      <x:c r="H95" s="10">
        <x:v>0.0</x:v>
      </x:c>
      <x:c r="I95" s="6" t="str">
        <x:f t="shared" si="1"/>
      </x:c>
      <x:c r="J95" s="10"/>
    </x:row>
    <x:row r="96" ht="13.5" customHeight="1">
      <x:c r="A96" s="6">
        <x:v>3.0</x:v>
      </x:c>
      <x:c r="B96" s="6" t="s">
        <x:v>90</x:v>
      </x:c>
      <x:c r="C96" s="6">
        <x:v>2.0</x:v>
      </x:c>
      <x:c r="D96" s="6">
        <x:v>37.0</x:v>
      </x:c>
      <x:c r="E96" s="6" t="str">
        <x:f>IFERROR(IF(VLOOKUP(D96,Giocatori!$A$4:$C$48,2,FALSE)&lt;&gt;"",VLOOKUP(D96,Giocatori!$A$4:$C$48,2,FALSE),"Giocatore "&amp;D96),"Giocatore "&amp;D96)</x:f>
        <x:v>Annunziata Raffaele</x:v>
      </x:c>
      <x:c r="F96" s="18"/>
      <x:c r="G96" s="18"/>
      <x:c r="H96" s="10">
        <x:v>0.0</x:v>
      </x:c>
      <x:c r="I96" s="6" t="str">
        <x:f t="shared" si="1"/>
      </x:c>
      <x:c r="J96" s="10"/>
    </x:row>
    <x:row r="97" ht="13.5" customHeight="1">
      <x:c r="A97" s="6">
        <x:v>3.0</x:v>
      </x:c>
      <x:c r="B97" s="6" t="s">
        <x:v>90</x:v>
      </x:c>
      <x:c r="C97" s="6">
        <x:v>3.0</x:v>
      </x:c>
      <x:c r="D97" s="6">
        <x:v>28.0</x:v>
      </x:c>
      <x:c r="E97" s="6" t="str">
        <x:f>IFERROR(IF(VLOOKUP(D97,Giocatori!$A$4:$C$48,2,FALSE)&lt;&gt;"",VLOOKUP(D97,Giocatori!$A$4:$C$48,2,FALSE),"Giocatore "&amp;D97),"Giocatore "&amp;D97)</x:f>
        <x:v>Ambrosino Raffaele</x:v>
      </x:c>
      <x:c r="F97" s="18"/>
      <x:c r="G97" s="18"/>
      <x:c r="H97" s="10">
        <x:v>0.0</x:v>
      </x:c>
      <x:c r="I97" s="6" t="str">
        <x:f t="shared" si="1"/>
      </x:c>
      <x:c r="J97" s="10"/>
    </x:row>
    <x:row r="98" ht="13.5" customHeight="1">
      <x:c r="A98" s="6">
        <x:v>3.0</x:v>
      </x:c>
      <x:c r="B98" s="6" t="s">
        <x:v>90</x:v>
      </x:c>
      <x:c r="C98" s="6">
        <x:v>4.0</x:v>
      </x:c>
      <x:c r="D98" s="6">
        <x:v>19.0</x:v>
      </x:c>
      <x:c r="E98" s="6" t="str">
        <x:f>IFERROR(IF(VLOOKUP(D98,Giocatori!$A$4:$C$48,2,FALSE)&lt;&gt;"",VLOOKUP(D98,Giocatori!$A$4:$C$48,2,FALSE),"Giocatore "&amp;D98),"Giocatore "&amp;D98)</x:f>
        <x:v>Fuschillo Franco</x:v>
      </x:c>
      <x:c r="F98" s="18"/>
      <x:c r="G98" s="18"/>
      <x:c r="H98" s="10">
        <x:v>0.0</x:v>
      </x:c>
      <x:c r="I98" s="6" t="str">
        <x:f t="shared" si="1"/>
      </x:c>
      <x:c r="J98" s="10"/>
    </x:row>
    <x:row r="99" ht="13.5" customHeight="1">
      <x:c r="A99" s="6">
        <x:v>3.0</x:v>
      </x:c>
      <x:c r="B99" s="6" t="s">
        <x:v>90</x:v>
      </x:c>
      <x:c r="C99" s="6">
        <x:v>5.0</x:v>
      </x:c>
      <x:c r="D99" s="6">
        <x:v>10.0</x:v>
      </x:c>
      <x:c r="E99" s="6" t="str">
        <x:f>IFERROR(IF(VLOOKUP(D99,Giocatori!$A$4:$C$48,2,FALSE)&lt;&gt;"",VLOOKUP(D99,Giocatori!$A$4:$C$48,2,FALSE),"Giocatore "&amp;D99),"Giocatore "&amp;D99)</x:f>
        <x:v>Caliendo Nunzio</x:v>
      </x:c>
      <x:c r="F99" s="18"/>
      <x:c r="G99" s="18"/>
      <x:c r="H99" s="10">
        <x:v>0.0</x:v>
      </x:c>
      <x:c r="I99" s="6" t="str">
        <x:f t="shared" si="1"/>
      </x:c>
      <x:c r="J99" s="10"/>
    </x:row>
    <x:row r="100" ht="13.5" customHeight="1">
      <x:c r="A100" s="6">
        <x:v>3.0</x:v>
      </x:c>
      <x:c r="B100" s="6" t="s">
        <x:v>91</x:v>
      </x:c>
      <x:c r="C100" s="6">
        <x:v>1.0</x:v>
      </x:c>
      <x:c r="D100" s="6">
        <x:v>6.0</x:v>
      </x:c>
      <x:c r="E100" s="6" t="str">
        <x:f>IFERROR(IF(VLOOKUP(D100,Giocatori!$A$4:$C$48,2,FALSE)&lt;&gt;"",VLOOKUP(D100,Giocatori!$A$4:$C$48,2,FALSE),"Giocatore "&amp;D100),"Giocatore "&amp;D100)</x:f>
        <x:v>Sommese Antonio</x:v>
      </x:c>
      <x:c r="F100" s="18"/>
      <x:c r="G100" s="18"/>
      <x:c r="H100" s="10">
        <x:v>0.0</x:v>
      </x:c>
      <x:c r="I100" s="6" t="str">
        <x:f t="shared" si="1"/>
      </x:c>
      <x:c r="J100" s="10"/>
    </x:row>
    <x:row r="101" ht="13.5" customHeight="1">
      <x:c r="A101" s="6">
        <x:v>3.0</x:v>
      </x:c>
      <x:c r="B101" s="6" t="s">
        <x:v>91</x:v>
      </x:c>
      <x:c r="C101" s="6">
        <x:v>2.0</x:v>
      </x:c>
      <x:c r="D101" s="6">
        <x:v>42.0</x:v>
      </x:c>
      <x:c r="E101" s="6" t="str">
        <x:f>IFERROR(IF(VLOOKUP(D101,Giocatori!$A$4:$C$48,2,FALSE)&lt;&gt;"",VLOOKUP(D101,Giocatori!$A$4:$C$48,2,FALSE),"Giocatore "&amp;D101),"Giocatore "&amp;D101)</x:f>
        <x:v>Giocatore 42</x:v>
      </x:c>
      <x:c r="F101" s="18"/>
      <x:c r="G101" s="18"/>
      <x:c r="H101" s="10">
        <x:v>0.0</x:v>
      </x:c>
      <x:c r="I101" s="6" t="str">
        <x:f t="shared" si="1"/>
      </x:c>
      <x:c r="J101" s="10"/>
    </x:row>
    <x:row r="102" ht="13.5" customHeight="1">
      <x:c r="A102" s="6">
        <x:v>3.0</x:v>
      </x:c>
      <x:c r="B102" s="6" t="s">
        <x:v>91</x:v>
      </x:c>
      <x:c r="C102" s="6">
        <x:v>3.0</x:v>
      </x:c>
      <x:c r="D102" s="6">
        <x:v>33.0</x:v>
      </x:c>
      <x:c r="E102" s="6" t="str">
        <x:f>IFERROR(IF(VLOOKUP(D102,Giocatori!$A$4:$C$48,2,FALSE)&lt;&gt;"",VLOOKUP(D102,Giocatori!$A$4:$C$48,2,FALSE),"Giocatore "&amp;D102),"Giocatore "&amp;D102)</x:f>
        <x:v>Nappi Nestore</x:v>
      </x:c>
      <x:c r="F102" s="18"/>
      <x:c r="G102" s="18"/>
      <x:c r="H102" s="10">
        <x:v>0.0</x:v>
      </x:c>
      <x:c r="I102" s="6" t="str">
        <x:f t="shared" si="1"/>
      </x:c>
      <x:c r="J102" s="10"/>
    </x:row>
    <x:row r="103" ht="13.5" customHeight="1">
      <x:c r="A103" s="6">
        <x:v>3.0</x:v>
      </x:c>
      <x:c r="B103" s="6" t="s">
        <x:v>91</x:v>
      </x:c>
      <x:c r="C103" s="6">
        <x:v>4.0</x:v>
      </x:c>
      <x:c r="D103" s="6">
        <x:v>24.0</x:v>
      </x:c>
      <x:c r="E103" s="6" t="str">
        <x:f>IFERROR(IF(VLOOKUP(D103,Giocatori!$A$4:$C$48,2,FALSE)&lt;&gt;"",VLOOKUP(D103,Giocatori!$A$4:$C$48,2,FALSE),"Giocatore "&amp;D103),"Giocatore "&amp;D103)</x:f>
        <x:v>Napolitano Pasquale</x:v>
      </x:c>
      <x:c r="F103" s="18"/>
      <x:c r="G103" s="18"/>
      <x:c r="H103" s="10">
        <x:v>0.0</x:v>
      </x:c>
      <x:c r="I103" s="6" t="str">
        <x:f t="shared" si="1"/>
      </x:c>
      <x:c r="J103" s="10"/>
    </x:row>
    <x:row r="104" ht="13.5" customHeight="1">
      <x:c r="A104" s="6">
        <x:v>3.0</x:v>
      </x:c>
      <x:c r="B104" s="6" t="s">
        <x:v>91</x:v>
      </x:c>
      <x:c r="C104" s="6">
        <x:v>5.0</x:v>
      </x:c>
      <x:c r="D104" s="6">
        <x:v>15.0</x:v>
      </x:c>
      <x:c r="E104" s="6" t="str">
        <x:f>IFERROR(IF(VLOOKUP(D104,Giocatori!$A$4:$C$48,2,FALSE)&lt;&gt;"",VLOOKUP(D104,Giocatori!$A$4:$C$48,2,FALSE),"Giocatore "&amp;D104),"Giocatore "&amp;D104)</x:f>
        <x:v>Tufano Antonio</x:v>
      </x:c>
      <x:c r="F104" s="18"/>
      <x:c r="G104" s="18"/>
      <x:c r="H104" s="10">
        <x:v>0.0</x:v>
      </x:c>
      <x:c r="I104" s="6" t="str">
        <x:f t="shared" si="1"/>
      </x:c>
      <x:c r="J104" s="10"/>
    </x:row>
    <x:row r="105" ht="13.5" customHeight="1">
      <x:c r="A105" s="6">
        <x:v>3.0</x:v>
      </x:c>
      <x:c r="B105" s="6" t="s">
        <x:v>92</x:v>
      </x:c>
      <x:c r="C105" s="6">
        <x:v>1.0</x:v>
      </x:c>
      <x:c r="D105" s="6">
        <x:v>11.0</x:v>
      </x:c>
      <x:c r="E105" s="6" t="str">
        <x:f>IFERROR(IF(VLOOKUP(D105,Giocatori!$A$4:$C$48,2,FALSE)&lt;&gt;"",VLOOKUP(D105,Giocatori!$A$4:$C$48,2,FALSE),"Giocatore "&amp;D105),"Giocatore "&amp;D105)</x:f>
        <x:v>Moccia Biagio</x:v>
      </x:c>
      <x:c r="F105" s="18"/>
      <x:c r="G105" s="18"/>
      <x:c r="H105" s="10">
        <x:v>0.0</x:v>
      </x:c>
      <x:c r="I105" s="6" t="str">
        <x:f t="shared" si="1"/>
      </x:c>
      <x:c r="J105" s="10"/>
    </x:row>
    <x:row r="106" ht="13.5" customHeight="1">
      <x:c r="A106" s="6">
        <x:v>3.0</x:v>
      </x:c>
      <x:c r="B106" s="6" t="s">
        <x:v>92</x:v>
      </x:c>
      <x:c r="C106" s="6">
        <x:v>2.0</x:v>
      </x:c>
      <x:c r="D106" s="6">
        <x:v>2.0</x:v>
      </x:c>
      <x:c r="E106" s="6" t="str">
        <x:f>IFERROR(IF(VLOOKUP(D106,Giocatori!$A$4:$C$48,2,FALSE)&lt;&gt;"",VLOOKUP(D106,Giocatori!$A$4:$C$48,2,FALSE),"Giocatore "&amp;D106),"Giocatore "&amp;D106)</x:f>
        <x:v>Nicola Mauro</x:v>
      </x:c>
      <x:c r="F106" s="18"/>
      <x:c r="G106" s="18"/>
      <x:c r="H106" s="10">
        <x:v>0.0</x:v>
      </x:c>
      <x:c r="I106" s="6" t="str">
        <x:f t="shared" si="1"/>
      </x:c>
      <x:c r="J106" s="10"/>
    </x:row>
    <x:row r="107" ht="13.5" customHeight="1">
      <x:c r="A107" s="6">
        <x:v>3.0</x:v>
      </x:c>
      <x:c r="B107" s="6" t="s">
        <x:v>92</x:v>
      </x:c>
      <x:c r="C107" s="6">
        <x:v>3.0</x:v>
      </x:c>
      <x:c r="D107" s="6">
        <x:v>38.0</x:v>
      </x:c>
      <x:c r="E107" s="6" t="str">
        <x:f>IFERROR(IF(VLOOKUP(D107,Giocatori!$A$4:$C$48,2,FALSE)&lt;&gt;"",VLOOKUP(D107,Giocatori!$A$4:$C$48,2,FALSE),"Giocatore "&amp;D107),"Giocatore "&amp;D107)</x:f>
        <x:v>Giuseppe Pierro</x:v>
      </x:c>
      <x:c r="F107" s="18"/>
      <x:c r="G107" s="18"/>
      <x:c r="H107" s="10">
        <x:v>0.0</x:v>
      </x:c>
      <x:c r="I107" s="6" t="str">
        <x:f t="shared" si="1"/>
      </x:c>
      <x:c r="J107" s="10"/>
    </x:row>
    <x:row r="108" ht="13.5" customHeight="1">
      <x:c r="A108" s="6">
        <x:v>3.0</x:v>
      </x:c>
      <x:c r="B108" s="6" t="s">
        <x:v>92</x:v>
      </x:c>
      <x:c r="C108" s="6">
        <x:v>4.0</x:v>
      </x:c>
      <x:c r="D108" s="6">
        <x:v>29.0</x:v>
      </x:c>
      <x:c r="E108" s="6" t="str">
        <x:f>IFERROR(IF(VLOOKUP(D108,Giocatori!$A$4:$C$48,2,FALSE)&lt;&gt;"",VLOOKUP(D108,Giocatori!$A$4:$C$48,2,FALSE),"Giocatore "&amp;D108),"Giocatore "&amp;D108)</x:f>
        <x:v>Tufano Giovanni</x:v>
      </x:c>
      <x:c r="F108" s="18"/>
      <x:c r="G108" s="18"/>
      <x:c r="H108" s="10">
        <x:v>0.0</x:v>
      </x:c>
      <x:c r="I108" s="6" t="str">
        <x:f t="shared" si="1"/>
      </x:c>
      <x:c r="J108" s="10"/>
    </x:row>
    <x:row r="109" ht="13.5" customHeight="1">
      <x:c r="A109" s="6">
        <x:v>3.0</x:v>
      </x:c>
      <x:c r="B109" s="6" t="s">
        <x:v>92</x:v>
      </x:c>
      <x:c r="C109" s="6">
        <x:v>5.0</x:v>
      </x:c>
      <x:c r="D109" s="6">
        <x:v>20.0</x:v>
      </x:c>
      <x:c r="E109" s="6" t="str">
        <x:f>IFERROR(IF(VLOOKUP(D109,Giocatori!$A$4:$C$48,2,FALSE)&lt;&gt;"",VLOOKUP(D109,Giocatori!$A$4:$C$48,2,FALSE),"Giocatore "&amp;D109),"Giocatore "&amp;D109)</x:f>
        <x:v>Di Grazia Salvatore</x:v>
      </x:c>
      <x:c r="F109" s="18"/>
      <x:c r="G109" s="18"/>
      <x:c r="H109" s="10">
        <x:v>0.0</x:v>
      </x:c>
      <x:c r="I109" s="6" t="str">
        <x:f t="shared" si="1"/>
      </x:c>
      <x:c r="J109" s="10"/>
    </x:row>
    <x:row r="110" ht="13.5" customHeight="1">
      <x:c r="A110" s="6">
        <x:v>3.0</x:v>
      </x:c>
      <x:c r="B110" s="6" t="s">
        <x:v>93</x:v>
      </x:c>
      <x:c r="C110" s="6">
        <x:v>1.0</x:v>
      </x:c>
      <x:c r="D110" s="6">
        <x:v>16.0</x:v>
      </x:c>
      <x:c r="E110" s="6" t="str">
        <x:f>IFERROR(IF(VLOOKUP(D110,Giocatori!$A$4:$C$48,2,FALSE)&lt;&gt;"",VLOOKUP(D110,Giocatori!$A$4:$C$48,2,FALSE),"Giocatore "&amp;D110),"Giocatore "&amp;D110)</x:f>
        <x:v>Iorio Raffaele</x:v>
      </x:c>
      <x:c r="F110" s="18"/>
      <x:c r="G110" s="18"/>
      <x:c r="H110" s="10">
        <x:v>0.0</x:v>
      </x:c>
      <x:c r="I110" s="6" t="str">
        <x:f t="shared" si="1"/>
      </x:c>
      <x:c r="J110" s="10"/>
    </x:row>
    <x:row r="111" ht="13.5" customHeight="1">
      <x:c r="A111" s="6">
        <x:v>3.0</x:v>
      </x:c>
      <x:c r="B111" s="6" t="s">
        <x:v>93</x:v>
      </x:c>
      <x:c r="C111" s="6">
        <x:v>2.0</x:v>
      </x:c>
      <x:c r="D111" s="6">
        <x:v>7.0</x:v>
      </x:c>
      <x:c r="E111" s="6" t="str">
        <x:f>IFERROR(IF(VLOOKUP(D111,Giocatori!$A$4:$C$48,2,FALSE)&lt;&gt;"",VLOOKUP(D111,Giocatori!$A$4:$C$48,2,FALSE),"Giocatore "&amp;D111),"Giocatore "&amp;D111)</x:f>
        <x:v>Notaro massimo</x:v>
      </x:c>
      <x:c r="F111" s="18"/>
      <x:c r="G111" s="18"/>
      <x:c r="H111" s="10">
        <x:v>0.0</x:v>
      </x:c>
      <x:c r="I111" s="6" t="str">
        <x:f t="shared" si="1"/>
      </x:c>
      <x:c r="J111" s="10"/>
    </x:row>
    <x:row r="112" ht="13.5" customHeight="1">
      <x:c r="A112" s="6">
        <x:v>3.0</x:v>
      </x:c>
      <x:c r="B112" s="6" t="s">
        <x:v>93</x:v>
      </x:c>
      <x:c r="C112" s="6">
        <x:v>3.0</x:v>
      </x:c>
      <x:c r="D112" s="6">
        <x:v>43.0</x:v>
      </x:c>
      <x:c r="E112" s="6" t="str">
        <x:f>IFERROR(IF(VLOOKUP(D112,Giocatori!$A$4:$C$48,2,FALSE)&lt;&gt;"",VLOOKUP(D112,Giocatori!$A$4:$C$48,2,FALSE),"Giocatore "&amp;D112),"Giocatore "&amp;D112)</x:f>
        <x:v>Giocatore 43</x:v>
      </x:c>
      <x:c r="F112" s="18"/>
      <x:c r="G112" s="18"/>
      <x:c r="H112" s="10">
        <x:v>0.0</x:v>
      </x:c>
      <x:c r="I112" s="6" t="str">
        <x:f t="shared" si="1"/>
      </x:c>
      <x:c r="J112" s="10"/>
    </x:row>
    <x:row r="113" ht="13.5" customHeight="1">
      <x:c r="A113" s="6">
        <x:v>3.0</x:v>
      </x:c>
      <x:c r="B113" s="6" t="s">
        <x:v>93</x:v>
      </x:c>
      <x:c r="C113" s="6">
        <x:v>4.0</x:v>
      </x:c>
      <x:c r="D113" s="6">
        <x:v>34.0</x:v>
      </x:c>
      <x:c r="E113" s="6" t="str">
        <x:f>IFERROR(IF(VLOOKUP(D113,Giocatori!$A$4:$C$48,2,FALSE)&lt;&gt;"",VLOOKUP(D113,Giocatori!$A$4:$C$48,2,FALSE),"Giocatore "&amp;D113),"Giocatore "&amp;D113)</x:f>
        <x:v>Pasquale Marotta</x:v>
      </x:c>
      <x:c r="F113" s="18"/>
      <x:c r="G113" s="18"/>
      <x:c r="H113" s="10">
        <x:v>0.0</x:v>
      </x:c>
      <x:c r="I113" s="6" t="str">
        <x:f t="shared" si="1"/>
      </x:c>
      <x:c r="J113" s="10"/>
    </x:row>
    <x:row r="114" ht="13.5" customHeight="1">
      <x:c r="A114" s="6">
        <x:v>3.0</x:v>
      </x:c>
      <x:c r="B114" s="6" t="s">
        <x:v>93</x:v>
      </x:c>
      <x:c r="C114" s="6">
        <x:v>5.0</x:v>
      </x:c>
      <x:c r="D114" s="6">
        <x:v>25.0</x:v>
      </x:c>
      <x:c r="E114" s="6" t="str">
        <x:f>IFERROR(IF(VLOOKUP(D114,Giocatori!$A$4:$C$48,2,FALSE)&lt;&gt;"",VLOOKUP(D114,Giocatori!$A$4:$C$48,2,FALSE),"Giocatore "&amp;D114),"Giocatore "&amp;D114)</x:f>
        <x:v>Fontanella Giuseppe</x:v>
      </x:c>
      <x:c r="F114" s="18"/>
      <x:c r="G114" s="18"/>
      <x:c r="H114" s="10">
        <x:v>0.0</x:v>
      </x:c>
      <x:c r="I114" s="6" t="str">
        <x:f t="shared" si="1"/>
      </x:c>
      <x:c r="J114" s="10"/>
    </x:row>
    <x:row r="115" ht="13.5" customHeight="1">
      <x:c r="A115" s="6">
        <x:v>3.0</x:v>
      </x:c>
      <x:c r="B115" s="6" t="s">
        <x:v>94</x:v>
      </x:c>
      <x:c r="C115" s="6">
        <x:v>1.0</x:v>
      </x:c>
      <x:c r="D115" s="6">
        <x:v>21.0</x:v>
      </x:c>
      <x:c r="E115" s="6" t="str">
        <x:f>IFERROR(IF(VLOOKUP(D115,Giocatori!$A$4:$C$48,2,FALSE)&lt;&gt;"",VLOOKUP(D115,Giocatori!$A$4:$C$48,2,FALSE),"Giocatore "&amp;D115),"Giocatore "&amp;D115)</x:f>
        <x:v>Mauro Candice</x:v>
      </x:c>
      <x:c r="F115" s="18"/>
      <x:c r="G115" s="18"/>
      <x:c r="H115" s="10">
        <x:v>0.0</x:v>
      </x:c>
      <x:c r="I115" s="6" t="str">
        <x:f t="shared" si="1"/>
      </x:c>
      <x:c r="J115" s="10"/>
    </x:row>
    <x:row r="116" ht="13.5" customHeight="1">
      <x:c r="A116" s="6">
        <x:v>3.0</x:v>
      </x:c>
      <x:c r="B116" s="6" t="s">
        <x:v>94</x:v>
      </x:c>
      <x:c r="C116" s="6">
        <x:v>2.0</x:v>
      </x:c>
      <x:c r="D116" s="6">
        <x:v>12.0</x:v>
      </x:c>
      <x:c r="E116" s="6" t="str">
        <x:f>IFERROR(IF(VLOOKUP(D116,Giocatori!$A$4:$C$48,2,FALSE)&lt;&gt;"",VLOOKUP(D116,Giocatori!$A$4:$C$48,2,FALSE),"Giocatore "&amp;D116),"Giocatore "&amp;D116)</x:f>
        <x:v>De Falco Andrea</x:v>
      </x:c>
      <x:c r="F116" s="18"/>
      <x:c r="G116" s="18"/>
      <x:c r="H116" s="10">
        <x:v>0.0</x:v>
      </x:c>
      <x:c r="I116" s="6" t="str">
        <x:f t="shared" si="1"/>
      </x:c>
      <x:c r="J116" s="10"/>
    </x:row>
    <x:row r="117" ht="13.5" customHeight="1">
      <x:c r="A117" s="6">
        <x:v>3.0</x:v>
      </x:c>
      <x:c r="B117" s="6" t="s">
        <x:v>94</x:v>
      </x:c>
      <x:c r="C117" s="6">
        <x:v>3.0</x:v>
      </x:c>
      <x:c r="D117" s="6">
        <x:v>3.0</x:v>
      </x:c>
      <x:c r="E117" s="6" t="str">
        <x:f>IFERROR(IF(VLOOKUP(D117,Giocatori!$A$4:$C$48,2,FALSE)&lt;&gt;"",VLOOKUP(D117,Giocatori!$A$4:$C$48,2,FALSE),"Giocatore "&amp;D117),"Giocatore "&amp;D117)</x:f>
        <x:v>Beracci Lucio</x:v>
      </x:c>
      <x:c r="F117" s="18"/>
      <x:c r="G117" s="18"/>
      <x:c r="H117" s="10">
        <x:v>0.0</x:v>
      </x:c>
      <x:c r="I117" s="6" t="str">
        <x:f t="shared" si="1"/>
      </x:c>
      <x:c r="J117" s="10"/>
    </x:row>
    <x:row r="118" ht="13.5" customHeight="1">
      <x:c r="A118" s="6">
        <x:v>3.0</x:v>
      </x:c>
      <x:c r="B118" s="6" t="s">
        <x:v>94</x:v>
      </x:c>
      <x:c r="C118" s="6">
        <x:v>4.0</x:v>
      </x:c>
      <x:c r="D118" s="6">
        <x:v>39.0</x:v>
      </x:c>
      <x:c r="E118" s="6" t="str">
        <x:f>IFERROR(IF(VLOOKUP(D118,Giocatori!$A$4:$C$48,2,FALSE)&lt;&gt;"",VLOOKUP(D118,Giocatori!$A$4:$C$48,2,FALSE),"Giocatore "&amp;D118),"Giocatore "&amp;D118)</x:f>
        <x:v>La Marca Pasquale</x:v>
      </x:c>
      <x:c r="F118" s="18"/>
      <x:c r="G118" s="18"/>
      <x:c r="H118" s="10">
        <x:v>0.0</x:v>
      </x:c>
      <x:c r="I118" s="6" t="str">
        <x:f t="shared" si="1"/>
      </x:c>
      <x:c r="J118" s="10"/>
    </x:row>
    <x:row r="119" ht="13.5" customHeight="1">
      <x:c r="A119" s="6">
        <x:v>3.0</x:v>
      </x:c>
      <x:c r="B119" s="6" t="s">
        <x:v>94</x:v>
      </x:c>
      <x:c r="C119" s="6">
        <x:v>5.0</x:v>
      </x:c>
      <x:c r="D119" s="6">
        <x:v>30.0</x:v>
      </x:c>
      <x:c r="E119" s="6" t="str">
        <x:f>IFERROR(IF(VLOOKUP(D119,Giocatori!$A$4:$C$48,2,FALSE)&lt;&gt;"",VLOOKUP(D119,Giocatori!$A$4:$C$48,2,FALSE),"Giocatore "&amp;D119),"Giocatore "&amp;D119)</x:f>
        <x:v>Mauro Raffaele</x:v>
      </x:c>
      <x:c r="F119" s="18"/>
      <x:c r="G119" s="18"/>
      <x:c r="H119" s="10">
        <x:v>0.0</x:v>
      </x:c>
      <x:c r="I119" s="6" t="str">
        <x:f t="shared" si="1"/>
      </x:c>
      <x:c r="J119" s="10"/>
    </x:row>
    <x:row r="120" ht="13.5" customHeight="1">
      <x:c r="A120" s="6">
        <x:v>3.0</x:v>
      </x:c>
      <x:c r="B120" s="6" t="s">
        <x:v>95</x:v>
      </x:c>
      <x:c r="C120" s="6">
        <x:v>1.0</x:v>
      </x:c>
      <x:c r="D120" s="6">
        <x:v>26.0</x:v>
      </x:c>
      <x:c r="E120" s="6" t="str">
        <x:f>IFERROR(IF(VLOOKUP(D120,Giocatori!$A$4:$C$48,2,FALSE)&lt;&gt;"",VLOOKUP(D120,Giocatori!$A$4:$C$48,2,FALSE),"Giocatore "&amp;D120),"Giocatore "&amp;D120)</x:f>
        <x:v>La Marca Franco</x:v>
      </x:c>
      <x:c r="F120" s="18"/>
      <x:c r="G120" s="18"/>
      <x:c r="H120" s="10">
        <x:v>0.0</x:v>
      </x:c>
      <x:c r="I120" s="6" t="str">
        <x:f t="shared" si="1"/>
      </x:c>
      <x:c r="J120" s="10"/>
    </x:row>
    <x:row r="121" ht="13.5" customHeight="1">
      <x:c r="A121" s="6">
        <x:v>3.0</x:v>
      </x:c>
      <x:c r="B121" s="6" t="s">
        <x:v>95</x:v>
      </x:c>
      <x:c r="C121" s="6">
        <x:v>2.0</x:v>
      </x:c>
      <x:c r="D121" s="6">
        <x:v>17.0</x:v>
      </x:c>
      <x:c r="E121" s="6" t="str">
        <x:f>IFERROR(IF(VLOOKUP(D121,Giocatori!$A$4:$C$48,2,FALSE)&lt;&gt;"",VLOOKUP(D121,Giocatori!$A$4:$C$48,2,FALSE),"Giocatore "&amp;D121),"Giocatore "&amp;D121)</x:f>
        <x:v>Scogliamiglio Alfredo</x:v>
      </x:c>
      <x:c r="F121" s="18"/>
      <x:c r="G121" s="18"/>
      <x:c r="H121" s="10">
        <x:v>0.0</x:v>
      </x:c>
      <x:c r="I121" s="6" t="str">
        <x:f t="shared" si="1"/>
      </x:c>
      <x:c r="J121" s="10"/>
    </x:row>
    <x:row r="122" ht="13.5" customHeight="1">
      <x:c r="A122" s="6">
        <x:v>3.0</x:v>
      </x:c>
      <x:c r="B122" s="6" t="s">
        <x:v>95</x:v>
      </x:c>
      <x:c r="C122" s="6">
        <x:v>3.0</x:v>
      </x:c>
      <x:c r="D122" s="6">
        <x:v>8.0</x:v>
      </x:c>
      <x:c r="E122" s="6" t="str">
        <x:f>IFERROR(IF(VLOOKUP(D122,Giocatori!$A$4:$C$48,2,FALSE)&lt;&gt;"",VLOOKUP(D122,Giocatori!$A$4:$C$48,2,FALSE),"Giocatore "&amp;D122),"Giocatore "&amp;D122)</x:f>
        <x:v>Beracci Benedetto</x:v>
      </x:c>
      <x:c r="F122" s="18"/>
      <x:c r="G122" s="18"/>
      <x:c r="H122" s="10">
        <x:v>0.0</x:v>
      </x:c>
      <x:c r="I122" s="6" t="str">
        <x:f t="shared" si="1"/>
      </x:c>
      <x:c r="J122" s="10"/>
    </x:row>
    <x:row r="123" ht="13.5" customHeight="1">
      <x:c r="A123" s="6">
        <x:v>3.0</x:v>
      </x:c>
      <x:c r="B123" s="6" t="s">
        <x:v>95</x:v>
      </x:c>
      <x:c r="C123" s="6">
        <x:v>4.0</x:v>
      </x:c>
      <x:c r="D123" s="6">
        <x:v>44.0</x:v>
      </x:c>
      <x:c r="E123" s="6" t="str">
        <x:f>IFERROR(IF(VLOOKUP(D123,Giocatori!$A$4:$C$48,2,FALSE)&lt;&gt;"",VLOOKUP(D123,Giocatori!$A$4:$C$48,2,FALSE),"Giocatore "&amp;D123),"Giocatore "&amp;D123)</x:f>
        <x:v>Giocatore 44</x:v>
      </x:c>
      <x:c r="F123" s="18"/>
      <x:c r="G123" s="18"/>
      <x:c r="H123" s="10">
        <x:v>0.0</x:v>
      </x:c>
      <x:c r="I123" s="6" t="str">
        <x:f t="shared" si="1"/>
      </x:c>
      <x:c r="J123" s="10"/>
    </x:row>
    <x:row r="124" ht="13.5" customHeight="1">
      <x:c r="A124" s="6">
        <x:v>3.0</x:v>
      </x:c>
      <x:c r="B124" s="6" t="s">
        <x:v>95</x:v>
      </x:c>
      <x:c r="C124" s="6">
        <x:v>5.0</x:v>
      </x:c>
      <x:c r="D124" s="6">
        <x:v>35.0</x:v>
      </x:c>
      <x:c r="E124" s="6" t="str">
        <x:f>IFERROR(IF(VLOOKUP(D124,Giocatori!$A$4:$C$48,2,FALSE)&lt;&gt;"",VLOOKUP(D124,Giocatori!$A$4:$C$48,2,FALSE),"Giocatore "&amp;D124),"Giocatore "&amp;D124)</x:f>
        <x:v>Napolitano Raffaele</x:v>
      </x:c>
      <x:c r="F124" s="18"/>
      <x:c r="G124" s="18"/>
      <x:c r="H124" s="10">
        <x:v>0.0</x:v>
      </x:c>
      <x:c r="I124" s="6" t="str">
        <x:f t="shared" si="1"/>
      </x:c>
      <x:c r="J124" s="10"/>
    </x:row>
    <x:row r="125" ht="13.5" customHeight="1">
      <x:c r="A125" s="6">
        <x:v>3.0</x:v>
      </x:c>
      <x:c r="B125" s="6" t="s">
        <x:v>96</x:v>
      </x:c>
      <x:c r="C125" s="6">
        <x:v>1.0</x:v>
      </x:c>
      <x:c r="D125" s="6">
        <x:v>31.0</x:v>
      </x:c>
      <x:c r="E125" s="6" t="str">
        <x:f>IFERROR(IF(VLOOKUP(D125,Giocatori!$A$4:$C$48,2,FALSE)&lt;&gt;"",VLOOKUP(D125,Giocatori!$A$4:$C$48,2,FALSE),"Giocatore "&amp;D125),"Giocatore "&amp;D125)</x:f>
        <x:v>Anna Angiero</x:v>
      </x:c>
      <x:c r="F125" s="18"/>
      <x:c r="G125" s="18"/>
      <x:c r="H125" s="10">
        <x:v>0.0</x:v>
      </x:c>
      <x:c r="I125" s="6" t="str">
        <x:f t="shared" si="1"/>
      </x:c>
      <x:c r="J125" s="10"/>
    </x:row>
    <x:row r="126" ht="13.5" customHeight="1">
      <x:c r="A126" s="6">
        <x:v>3.0</x:v>
      </x:c>
      <x:c r="B126" s="6" t="s">
        <x:v>96</x:v>
      </x:c>
      <x:c r="C126" s="6">
        <x:v>2.0</x:v>
      </x:c>
      <x:c r="D126" s="6">
        <x:v>22.0</x:v>
      </x:c>
      <x:c r="E126" s="6" t="str">
        <x:f>IFERROR(IF(VLOOKUP(D126,Giocatori!$A$4:$C$48,2,FALSE)&lt;&gt;"",VLOOKUP(D126,Giocatori!$A$4:$C$48,2,FALSE),"Giocatore "&amp;D126),"Giocatore "&amp;D126)</x:f>
        <x:v>Michele Zappone</x:v>
      </x:c>
      <x:c r="F126" s="18"/>
      <x:c r="G126" s="18"/>
      <x:c r="H126" s="10">
        <x:v>0.0</x:v>
      </x:c>
      <x:c r="I126" s="6" t="str">
        <x:f t="shared" si="1"/>
      </x:c>
      <x:c r="J126" s="10"/>
    </x:row>
    <x:row r="127" ht="13.5" customHeight="1">
      <x:c r="A127" s="6">
        <x:v>3.0</x:v>
      </x:c>
      <x:c r="B127" s="6" t="s">
        <x:v>96</x:v>
      </x:c>
      <x:c r="C127" s="6">
        <x:v>3.0</x:v>
      </x:c>
      <x:c r="D127" s="6">
        <x:v>13.0</x:v>
      </x:c>
      <x:c r="E127" s="6" t="str">
        <x:f>IFERROR(IF(VLOOKUP(D127,Giocatori!$A$4:$C$48,2,FALSE)&lt;&gt;"",VLOOKUP(D127,Giocatori!$A$4:$C$48,2,FALSE),"Giocatore "&amp;D127),"Giocatore "&amp;D127)</x:f>
        <x:v>Corbo Alessandro</x:v>
      </x:c>
      <x:c r="F127" s="18"/>
      <x:c r="G127" s="18"/>
      <x:c r="H127" s="10">
        <x:v>0.0</x:v>
      </x:c>
      <x:c r="I127" s="6" t="str">
        <x:f t="shared" si="1"/>
      </x:c>
      <x:c r="J127" s="10"/>
    </x:row>
    <x:row r="128" ht="13.5" customHeight="1">
      <x:c r="A128" s="6">
        <x:v>3.0</x:v>
      </x:c>
      <x:c r="B128" s="6" t="s">
        <x:v>96</x:v>
      </x:c>
      <x:c r="C128" s="6">
        <x:v>4.0</x:v>
      </x:c>
      <x:c r="D128" s="6">
        <x:v>4.0</x:v>
      </x:c>
      <x:c r="E128" s="6" t="str">
        <x:f>IFERROR(IF(VLOOKUP(D128,Giocatori!$A$4:$C$48,2,FALSE)&lt;&gt;"",VLOOKUP(D128,Giocatori!$A$4:$C$48,2,FALSE),"Giocatore "&amp;D128),"Giocatore "&amp;D128)</x:f>
        <x:v>Annunziata Michele</x:v>
      </x:c>
      <x:c r="F128" s="18"/>
      <x:c r="G128" s="18"/>
      <x:c r="H128" s="10">
        <x:v>0.0</x:v>
      </x:c>
      <x:c r="I128" s="6" t="str">
        <x:f t="shared" si="1"/>
      </x:c>
      <x:c r="J128" s="10"/>
    </x:row>
    <x:row r="129" ht="13.5" customHeight="1">
      <x:c r="A129" s="6">
        <x:v>3.0</x:v>
      </x:c>
      <x:c r="B129" s="6" t="s">
        <x:v>96</x:v>
      </x:c>
      <x:c r="C129" s="6">
        <x:v>5.0</x:v>
      </x:c>
      <x:c r="D129" s="6">
        <x:v>40.0</x:v>
      </x:c>
      <x:c r="E129" s="6" t="str">
        <x:f>IFERROR(IF(VLOOKUP(D129,Giocatori!$A$4:$C$48,2,FALSE)&lt;&gt;"",VLOOKUP(D129,Giocatori!$A$4:$C$48,2,FALSE),"Giocatore "&amp;D129),"Giocatore "&amp;D129)</x:f>
        <x:v>Ambrosino Michele</x:v>
      </x:c>
      <x:c r="F129" s="18"/>
      <x:c r="G129" s="18"/>
      <x:c r="H129" s="10">
        <x:v>0.0</x:v>
      </x:c>
      <x:c r="I129" s="6" t="str">
        <x:f t="shared" si="1"/>
      </x:c>
      <x:c r="J129" s="10"/>
    </x:row>
    <x:row r="130" ht="13.5" customHeight="1">
      <x:c r="A130" s="6">
        <x:v>3.0</x:v>
      </x:c>
      <x:c r="B130" s="6" t="s">
        <x:v>99</x:v>
      </x:c>
      <x:c r="C130" s="6">
        <x:v>1.0</x:v>
      </x:c>
      <x:c r="D130" s="6">
        <x:v>36.0</x:v>
      </x:c>
      <x:c r="E130" s="6" t="str">
        <x:f>IFERROR(IF(VLOOKUP(D130,Giocatori!$A$4:$C$48,2,FALSE)&lt;&gt;"",VLOOKUP(D130,Giocatori!$A$4:$C$48,2,FALSE),"Giocatore "&amp;D130),"Giocatore "&amp;D130)</x:f>
        <x:v>Perretta Maurizio</x:v>
      </x:c>
      <x:c r="F130" s="18"/>
      <x:c r="G130" s="18"/>
      <x:c r="H130" s="10">
        <x:v>0.0</x:v>
      </x:c>
      <x:c r="I130" s="6" t="str">
        <x:f t="shared" si="1"/>
      </x:c>
      <x:c r="J130" s="10"/>
    </x:row>
    <x:row r="131" ht="13.5" customHeight="1">
      <x:c r="A131" s="6">
        <x:v>3.0</x:v>
      </x:c>
      <x:c r="B131" s="6" t="s">
        <x:v>99</x:v>
      </x:c>
      <x:c r="C131" s="6">
        <x:v>2.0</x:v>
      </x:c>
      <x:c r="D131" s="6">
        <x:v>27.0</x:v>
      </x:c>
      <x:c r="E131" s="6" t="str">
        <x:f>IFERROR(IF(VLOOKUP(D131,Giocatori!$A$4:$C$48,2,FALSE)&lt;&gt;"",VLOOKUP(D131,Giocatori!$A$4:$C$48,2,FALSE),"Giocatore "&amp;D131),"Giocatore "&amp;D131)</x:f>
        <x:v>Tufano Michele</x:v>
      </x:c>
      <x:c r="F131" s="18"/>
      <x:c r="G131" s="18"/>
      <x:c r="H131" s="10">
        <x:v>0.0</x:v>
      </x:c>
      <x:c r="I131" s="6" t="str">
        <x:f t="shared" si="1"/>
      </x:c>
      <x:c r="J131" s="10"/>
    </x:row>
    <x:row r="132" ht="13.5" customHeight="1">
      <x:c r="A132" s="6">
        <x:v>3.0</x:v>
      </x:c>
      <x:c r="B132" s="6" t="s">
        <x:v>99</x:v>
      </x:c>
      <x:c r="C132" s="6">
        <x:v>3.0</x:v>
      </x:c>
      <x:c r="D132" s="6">
        <x:v>18.0</x:v>
      </x:c>
      <x:c r="E132" s="6" t="str">
        <x:f>IFERROR(IF(VLOOKUP(D132,Giocatori!$A$4:$C$48,2,FALSE)&lt;&gt;"",VLOOKUP(D132,Giocatori!$A$4:$C$48,2,FALSE),"Giocatore "&amp;D132),"Giocatore "&amp;D132)</x:f>
        <x:v>Cafarelli Manolo</x:v>
      </x:c>
      <x:c r="F132" s="18"/>
      <x:c r="G132" s="18"/>
      <x:c r="H132" s="10">
        <x:v>0.0</x:v>
      </x:c>
      <x:c r="I132" s="6" t="str">
        <x:f t="shared" si="1"/>
      </x:c>
      <x:c r="J132" s="10"/>
    </x:row>
    <x:row r="133" ht="13.5" customHeight="1">
      <x:c r="A133" s="6">
        <x:v>3.0</x:v>
      </x:c>
      <x:c r="B133" s="6" t="s">
        <x:v>99</x:v>
      </x:c>
      <x:c r="C133" s="6">
        <x:v>4.0</x:v>
      </x:c>
      <x:c r="D133" s="6">
        <x:v>9.0</x:v>
      </x:c>
      <x:c r="E133" s="6" t="str">
        <x:f>IFERROR(IF(VLOOKUP(D133,Giocatori!$A$4:$C$48,2,FALSE)&lt;&gt;"",VLOOKUP(D133,Giocatori!$A$4:$C$48,2,FALSE),"Giocatore "&amp;D133),"Giocatore "&amp;D133)</x:f>
        <x:v>Atria Gregorio</x:v>
      </x:c>
      <x:c r="F133" s="18"/>
      <x:c r="G133" s="18"/>
      <x:c r="H133" s="10">
        <x:v>0.0</x:v>
      </x:c>
      <x:c r="I133" s="6" t="str">
        <x:f t="shared" si="1"/>
      </x:c>
      <x:c r="J133" s="10"/>
    </x:row>
    <x:row r="134" ht="13.5" customHeight="1">
      <x:c r="A134" s="6">
        <x:v>3.0</x:v>
      </x:c>
      <x:c r="B134" s="6" t="s">
        <x:v>99</x:v>
      </x:c>
      <x:c r="C134" s="6">
        <x:v>5.0</x:v>
      </x:c>
      <x:c r="D134" s="6">
        <x:v>45.0</x:v>
      </x:c>
      <x:c r="E134" s="6" t="str">
        <x:f>IFERROR(IF(VLOOKUP(D134,Giocatori!$A$4:$C$48,2,FALSE)&lt;&gt;"",VLOOKUP(D134,Giocatori!$A$4:$C$48,2,FALSE),"Giocatore "&amp;D134),"Giocatore "&amp;D134)</x:f>
        <x:v>Giocatore 45</x:v>
      </x:c>
      <x:c r="F134" s="18"/>
      <x:c r="G134" s="18"/>
      <x:c r="H134" s="10">
        <x:v>0.0</x:v>
      </x:c>
      <x:c r="I134" s="6" t="str">
        <x:f t="shared" si="1"/>
      </x:c>
      <x:c r="J134" s="10"/>
    </x:row>
    <x:row r="135" ht="13.5" customHeight="1">
      <x:c r="A135" s="6">
        <x:v>3.0</x:v>
      </x:c>
      <x:c r="B135" s="6" t="s">
        <x:v>101</x:v>
      </x:c>
      <x:c r="C135" s="6">
        <x:v>1.0</x:v>
      </x:c>
      <x:c r="D135" s="6">
        <x:v>41.0</x:v>
      </x:c>
      <x:c r="E135" s="6" t="str">
        <x:f>IFERROR(IF(VLOOKUP(D135,Giocatori!$A$4:$C$48,2,FALSE)&lt;&gt;"",VLOOKUP(D135,Giocatori!$A$4:$C$48,2,FALSE),"Giocatore "&amp;D135),"Giocatore "&amp;D135)</x:f>
        <x:v>Giocatore 41</x:v>
      </x:c>
      <x:c r="F135" s="18"/>
      <x:c r="G135" s="18"/>
      <x:c r="H135" s="10">
        <x:v>0.0</x:v>
      </x:c>
      <x:c r="I135" s="6" t="str">
        <x:f t="shared" si="1"/>
      </x:c>
      <x:c r="J135" s="10"/>
    </x:row>
    <x:row r="136" ht="13.5" customHeight="1">
      <x:c r="A136" s="6">
        <x:v>3.0</x:v>
      </x:c>
      <x:c r="B136" s="6" t="s">
        <x:v>101</x:v>
      </x:c>
      <x:c r="C136" s="6">
        <x:v>2.0</x:v>
      </x:c>
      <x:c r="D136" s="6">
        <x:v>32.0</x:v>
      </x:c>
      <x:c r="E136" s="6" t="str">
        <x:f>IFERROR(IF(VLOOKUP(D136,Giocatori!$A$4:$C$48,2,FALSE)&lt;&gt;"",VLOOKUP(D136,Giocatori!$A$4:$C$48,2,FALSE),"Giocatore "&amp;D136),"Giocatore "&amp;D136)</x:f>
        <x:v>Notaro Giacomo</x:v>
      </x:c>
      <x:c r="F136" s="18"/>
      <x:c r="G136" s="18"/>
      <x:c r="H136" s="10">
        <x:v>0.0</x:v>
      </x:c>
      <x:c r="I136" s="6" t="str">
        <x:f t="shared" si="1"/>
      </x:c>
      <x:c r="J136" s="10"/>
    </x:row>
    <x:row r="137" ht="13.5" customHeight="1">
      <x:c r="A137" s="6">
        <x:v>3.0</x:v>
      </x:c>
      <x:c r="B137" s="6" t="s">
        <x:v>101</x:v>
      </x:c>
      <x:c r="C137" s="6">
        <x:v>3.0</x:v>
      </x:c>
      <x:c r="D137" s="6">
        <x:v>23.0</x:v>
      </x:c>
      <x:c r="E137" s="6" t="str">
        <x:f>IFERROR(IF(VLOOKUP(D137,Giocatori!$A$4:$C$48,2,FALSE)&lt;&gt;"",VLOOKUP(D137,Giocatori!$A$4:$C$48,2,FALSE),"Giocatore "&amp;D137),"Giocatore "&amp;D137)</x:f>
        <x:v>Amato Alessandro</x:v>
      </x:c>
      <x:c r="F137" s="18"/>
      <x:c r="G137" s="18"/>
      <x:c r="H137" s="10">
        <x:v>0.0</x:v>
      </x:c>
      <x:c r="I137" s="6" t="str">
        <x:f t="shared" si="1"/>
      </x:c>
      <x:c r="J137" s="10"/>
    </x:row>
    <x:row r="138" ht="13.5" customHeight="1">
      <x:c r="A138" s="6">
        <x:v>3.0</x:v>
      </x:c>
      <x:c r="B138" s="6" t="s">
        <x:v>101</x:v>
      </x:c>
      <x:c r="C138" s="6">
        <x:v>4.0</x:v>
      </x:c>
      <x:c r="D138" s="6">
        <x:v>14.0</x:v>
      </x:c>
      <x:c r="E138" s="6" t="str">
        <x:f>IFERROR(IF(VLOOKUP(D138,Giocatori!$A$4:$C$48,2,FALSE)&lt;&gt;"",VLOOKUP(D138,Giocatori!$A$4:$C$48,2,FALSE),"Giocatore "&amp;D138),"Giocatore "&amp;D138)</x:f>
        <x:v>Botta Francesco</x:v>
      </x:c>
      <x:c r="F138" s="18"/>
      <x:c r="G138" s="18"/>
      <x:c r="H138" s="10">
        <x:v>0.0</x:v>
      </x:c>
      <x:c r="I138" s="6" t="str">
        <x:f t="shared" si="1"/>
      </x:c>
      <x:c r="J138" s="10"/>
    </x:row>
    <x:row r="139" ht="13.5" customHeight="1">
      <x:c r="A139" s="6">
        <x:v>3.0</x:v>
      </x:c>
      <x:c r="B139" s="6" t="s">
        <x:v>101</x:v>
      </x:c>
      <x:c r="C139" s="6">
        <x:v>5.0</x:v>
      </x:c>
      <x:c r="D139" s="6">
        <x:v>5.0</x:v>
      </x:c>
      <x:c r="E139" s="6" t="str">
        <x:f>IFERROR(IF(VLOOKUP(D139,Giocatori!$A$4:$C$48,2,FALSE)&lt;&gt;"",VLOOKUP(D139,Giocatori!$A$4:$C$48,2,FALSE),"Giocatore "&amp;D139),"Giocatore "&amp;D139)</x:f>
        <x:v>La Marca Carlo</x:v>
      </x:c>
      <x:c r="F139" s="18"/>
      <x:c r="G139" s="18"/>
      <x:c r="H139" s="10">
        <x:v>0.0</x:v>
      </x:c>
      <x:c r="I139" s="6" t="str">
        <x:f t="shared" si="1"/>
      </x:c>
      <x:c r="J139" s="10"/>
    </x:row>
    <x:row r="140" ht="13.5" customHeight="1">
      <x:c r="A140" s="6"/>
      <x:c r="B140" s="6"/>
      <x:c r="C140" s="6"/>
      <x:c r="D140" s="6"/>
      <x:c r="E140" s="6"/>
      <x:c r="F140" s="18"/>
      <x:c r="G140" s="18"/>
      <x:c r="H140" s="10"/>
      <x:c r="I140" s="6" t="str">
        <x:f t="shared" si="1"/>
      </x:c>
      <x:c r="J140" s="10"/>
    </x:row>
    <x:row r="141" ht="13.5" customHeight="1">
      <x:c r="A141" s="6"/>
      <x:c r="B141" s="6"/>
      <x:c r="C141" s="6"/>
      <x:c r="D141" s="6"/>
      <x:c r="E141" s="6"/>
      <x:c r="F141" s="18"/>
      <x:c r="G141" s="18"/>
      <x:c r="H141" s="10"/>
      <x:c r="I141" s="6" t="str">
        <x:f t="shared" si="1"/>
      </x:c>
      <x:c r="J141" s="10"/>
    </x:row>
    <x:row r="142" ht="13.5" customHeight="1">
      <x:c r="A142" s="6"/>
      <x:c r="B142" s="6"/>
      <x:c r="C142" s="6"/>
      <x:c r="D142" s="6"/>
      <x:c r="E142" s="6"/>
      <x:c r="F142" s="18"/>
      <x:c r="G142" s="18"/>
      <x:c r="H142" s="10"/>
      <x:c r="I142" s="6" t="str">
        <x:f t="shared" si="1"/>
      </x:c>
      <x:c r="J142" s="10"/>
    </x:row>
    <x:row r="143" ht="13.5" customHeight="1">
      <x:c r="A143" s="6"/>
      <x:c r="B143" s="6"/>
      <x:c r="C143" s="6"/>
      <x:c r="D143" s="6"/>
      <x:c r="E143" s="6"/>
      <x:c r="F143" s="18"/>
      <x:c r="G143" s="18"/>
      <x:c r="H143" s="10"/>
      <x:c r="I143" s="6" t="str">
        <x:f t="shared" si="1"/>
      </x:c>
      <x:c r="J143" s="10"/>
    </x:row>
    <x:row r="144" ht="13.5" customHeight="1">
      <x:c r="A144" s="6"/>
      <x:c r="B144" s="6"/>
      <x:c r="C144" s="6"/>
      <x:c r="D144" s="6"/>
      <x:c r="E144" s="6"/>
      <x:c r="F144" s="18"/>
      <x:c r="G144" s="18"/>
      <x:c r="H144" s="10"/>
      <x:c r="I144" s="6" t="str">
        <x:f t="shared" si="1"/>
      </x:c>
      <x:c r="J144" s="10"/>
    </x:row>
    <x:row r="145" ht="13.5" customHeight="1">
      <x:c r="A145" s="6"/>
      <x:c r="B145" s="6"/>
      <x:c r="C145" s="6"/>
      <x:c r="D145" s="6"/>
      <x:c r="E145" s="6"/>
      <x:c r="F145" s="18"/>
      <x:c r="G145" s="18"/>
      <x:c r="H145" s="10"/>
      <x:c r="I145" s="6" t="str">
        <x:f t="shared" si="1"/>
      </x:c>
      <x:c r="J145" s="10"/>
    </x:row>
    <x:row r="146" ht="13.5" customHeight="1">
      <x:c r="A146" s="6"/>
      <x:c r="B146" s="6"/>
      <x:c r="C146" s="6"/>
      <x:c r="D146" s="6"/>
      <x:c r="E146" s="6"/>
      <x:c r="F146" s="18"/>
      <x:c r="G146" s="18"/>
      <x:c r="H146" s="10"/>
      <x:c r="I146" s="6" t="str">
        <x:f t="shared" si="1"/>
      </x:c>
      <x:c r="J146" s="10"/>
    </x:row>
    <x:row r="147" ht="13.5" customHeight="1">
      <x:c r="A147" s="6"/>
      <x:c r="B147" s="6"/>
      <x:c r="C147" s="6"/>
      <x:c r="D147" s="6"/>
      <x:c r="E147" s="6"/>
      <x:c r="F147" s="18"/>
      <x:c r="G147" s="18"/>
      <x:c r="H147" s="10"/>
      <x:c r="I147" s="6" t="str">
        <x:f t="shared" si="1"/>
      </x:c>
      <x:c r="J147" s="10"/>
    </x:row>
    <x:row r="148" ht="13.5" customHeight="1">
      <x:c r="A148" s="6"/>
      <x:c r="B148" s="6"/>
      <x:c r="C148" s="6"/>
      <x:c r="D148" s="6"/>
      <x:c r="E148" s="6"/>
      <x:c r="F148" s="18"/>
      <x:c r="G148" s="18"/>
      <x:c r="H148" s="10"/>
      <x:c r="I148" s="6" t="str">
        <x:f t="shared" si="1"/>
      </x:c>
      <x:c r="J148" s="10"/>
    </x:row>
    <x:row r="149" ht="13.5" customHeight="1">
      <x:c r="A149" s="6"/>
      <x:c r="B149" s="6"/>
      <x:c r="C149" s="6"/>
      <x:c r="D149" s="6"/>
      <x:c r="E149" s="6"/>
      <x:c r="F149" s="18"/>
      <x:c r="G149" s="18"/>
      <x:c r="H149" s="10"/>
      <x:c r="I149" s="6" t="str">
        <x:f t="shared" si="1"/>
      </x:c>
      <x:c r="J149" s="10"/>
    </x:row>
    <x:row r="150" ht="13.5" customHeight="1">
      <x:c r="A150" s="6"/>
      <x:c r="B150" s="6"/>
      <x:c r="C150" s="6"/>
      <x:c r="D150" s="6"/>
      <x:c r="E150" s="6"/>
      <x:c r="F150" s="18"/>
      <x:c r="G150" s="18"/>
      <x:c r="H150" s="10"/>
      <x:c r="I150" s="6" t="str">
        <x:f t="shared" si="1"/>
      </x:c>
      <x:c r="J150" s="10"/>
    </x:row>
    <x:row r="151" ht="13.5" customHeight="1">
      <x:c r="A151" s="6"/>
      <x:c r="B151" s="6"/>
      <x:c r="C151" s="6"/>
      <x:c r="D151" s="6"/>
      <x:c r="E151" s="6"/>
      <x:c r="F151" s="18"/>
      <x:c r="G151" s="18"/>
      <x:c r="H151" s="10"/>
      <x:c r="I151" s="6" t="str">
        <x:f t="shared" si="1"/>
      </x:c>
      <x:c r="J151" s="10"/>
    </x:row>
    <x:row r="152" ht="13.5" customHeight="1">
      <x:c r="A152" s="6"/>
      <x:c r="B152" s="6"/>
      <x:c r="C152" s="6"/>
      <x:c r="D152" s="6"/>
      <x:c r="E152" s="6"/>
      <x:c r="F152" s="18"/>
      <x:c r="G152" s="18"/>
      <x:c r="H152" s="10"/>
      <x:c r="I152" s="6" t="str">
        <x:f t="shared" si="1"/>
      </x:c>
      <x:c r="J152" s="10"/>
    </x:row>
    <x:row r="153" ht="13.5" customHeight="1">
      <x:c r="A153" s="6"/>
      <x:c r="B153" s="6"/>
      <x:c r="C153" s="6"/>
      <x:c r="D153" s="6"/>
      <x:c r="E153" s="6"/>
      <x:c r="F153" s="18"/>
      <x:c r="G153" s="18"/>
      <x:c r="H153" s="10"/>
      <x:c r="I153" s="6" t="str">
        <x:f t="shared" si="1"/>
      </x:c>
      <x:c r="J153" s="10"/>
    </x:row>
    <x:row r="154" ht="13.5" customHeight="1">
      <x:c r="A154" s="6"/>
      <x:c r="B154" s="6"/>
      <x:c r="C154" s="6"/>
      <x:c r="D154" s="6"/>
      <x:c r="E154" s="6"/>
      <x:c r="F154" s="18"/>
      <x:c r="G154" s="18"/>
      <x:c r="H154" s="10"/>
      <x:c r="I154" s="6" t="str">
        <x:f t="shared" si="1"/>
      </x:c>
      <x:c r="J154" s="10"/>
    </x:row>
    <x:row r="155" ht="13.5" customHeight="1">
      <x:c r="A155" s="6"/>
      <x:c r="B155" s="6"/>
      <x:c r="C155" s="6"/>
      <x:c r="D155" s="6"/>
      <x:c r="E155" s="6"/>
      <x:c r="F155" s="18"/>
      <x:c r="G155" s="18"/>
      <x:c r="H155" s="10"/>
      <x:c r="I155" s="6" t="str">
        <x:f t="shared" si="1"/>
      </x:c>
      <x:c r="J155" s="10"/>
    </x:row>
    <x:row r="156" ht="13.5" customHeight="1">
      <x:c r="A156" s="6"/>
      <x:c r="B156" s="6"/>
      <x:c r="C156" s="6"/>
      <x:c r="D156" s="6"/>
      <x:c r="E156" s="6"/>
      <x:c r="F156" s="18"/>
      <x:c r="G156" s="18"/>
      <x:c r="H156" s="10"/>
      <x:c r="I156" s="6" t="str">
        <x:f t="shared" si="1"/>
      </x:c>
      <x:c r="J156" s="10"/>
    </x:row>
    <x:row r="157" ht="13.5" customHeight="1">
      <x:c r="A157" s="6"/>
      <x:c r="B157" s="6"/>
      <x:c r="C157" s="6"/>
      <x:c r="D157" s="6"/>
      <x:c r="E157" s="6"/>
      <x:c r="F157" s="18"/>
      <x:c r="G157" s="18"/>
      <x:c r="H157" s="10"/>
      <x:c r="I157" s="6" t="str">
        <x:f t="shared" si="1"/>
      </x:c>
      <x:c r="J157" s="10"/>
    </x:row>
    <x:row r="158" ht="13.5" customHeight="1">
      <x:c r="A158" s="6"/>
      <x:c r="B158" s="6"/>
      <x:c r="C158" s="6"/>
      <x:c r="D158" s="6"/>
      <x:c r="E158" s="6"/>
      <x:c r="F158" s="18"/>
      <x:c r="G158" s="18"/>
      <x:c r="H158" s="10"/>
      <x:c r="I158" s="6" t="str">
        <x:f t="shared" si="1"/>
      </x:c>
      <x:c r="J158" s="10"/>
    </x:row>
    <x:row r="159" ht="13.5" customHeight="1">
      <x:c r="A159" s="6"/>
      <x:c r="B159" s="6"/>
      <x:c r="C159" s="6"/>
      <x:c r="D159" s="6"/>
      <x:c r="E159" s="6"/>
      <x:c r="F159" s="18"/>
      <x:c r="G159" s="18"/>
      <x:c r="H159" s="10"/>
      <x:c r="I159" s="6" t="str">
        <x:f t="shared" si="1"/>
      </x:c>
      <x:c r="J159" s="10"/>
    </x:row>
    <x:row r="160" ht="13.5" customHeight="1">
      <x:c r="A160" s="6"/>
      <x:c r="B160" s="6"/>
      <x:c r="C160" s="6"/>
      <x:c r="D160" s="6"/>
      <x:c r="E160" s="6"/>
      <x:c r="F160" s="18"/>
      <x:c r="G160" s="18"/>
      <x:c r="H160" s="10"/>
      <x:c r="I160" s="6" t="str">
        <x:f t="shared" si="1"/>
      </x:c>
      <x:c r="J160" s="10"/>
    </x:row>
    <x:row r="161" ht="13.5" customHeight="1">
      <x:c r="A161" s="6"/>
      <x:c r="B161" s="6"/>
      <x:c r="C161" s="6"/>
      <x:c r="D161" s="6"/>
      <x:c r="E161" s="6"/>
      <x:c r="F161" s="18"/>
      <x:c r="G161" s="18"/>
      <x:c r="H161" s="10"/>
      <x:c r="I161" s="6" t="str">
        <x:f t="shared" si="1"/>
      </x:c>
      <x:c r="J161" s="10"/>
    </x:row>
    <x:row r="162" ht="13.5" customHeight="1">
      <x:c r="A162" s="6"/>
      <x:c r="B162" s="6"/>
      <x:c r="C162" s="6"/>
      <x:c r="D162" s="6"/>
      <x:c r="E162" s="6"/>
      <x:c r="F162" s="18"/>
      <x:c r="G162" s="18"/>
      <x:c r="H162" s="10"/>
      <x:c r="I162" s="6" t="str">
        <x:f t="shared" si="1"/>
      </x:c>
      <x:c r="J162" s="10"/>
    </x:row>
    <x:row r="163" ht="13.5" customHeight="1">
      <x:c r="A163" s="6"/>
      <x:c r="B163" s="6"/>
      <x:c r="C163" s="6"/>
      <x:c r="D163" s="6"/>
      <x:c r="E163" s="6"/>
      <x:c r="F163" s="18"/>
      <x:c r="G163" s="18"/>
      <x:c r="H163" s="10"/>
      <x:c r="I163" s="6" t="str">
        <x:f t="shared" si="1"/>
      </x:c>
      <x:c r="J163" s="10"/>
    </x:row>
    <x:row r="164" ht="13.5" customHeight="1">
      <x:c r="A164" s="6"/>
      <x:c r="B164" s="6"/>
      <x:c r="C164" s="6"/>
      <x:c r="D164" s="6"/>
      <x:c r="E164" s="6"/>
      <x:c r="F164" s="18"/>
      <x:c r="G164" s="18"/>
      <x:c r="H164" s="10"/>
      <x:c r="I164" s="6" t="str">
        <x:f t="shared" si="1"/>
      </x:c>
      <x:c r="J164" s="10"/>
    </x:row>
    <x:row r="165" ht="13.5" customHeight="1">
      <x:c r="A165" s="6"/>
      <x:c r="B165" s="6"/>
      <x:c r="C165" s="6"/>
      <x:c r="D165" s="6"/>
      <x:c r="E165" s="6"/>
      <x:c r="F165" s="18"/>
      <x:c r="G165" s="18"/>
      <x:c r="H165" s="10"/>
      <x:c r="I165" s="6" t="str">
        <x:f t="shared" si="1"/>
      </x:c>
      <x:c r="J165" s="10"/>
    </x:row>
    <x:row r="166" ht="13.5" customHeight="1">
      <x:c r="A166" s="6"/>
      <x:c r="B166" s="6"/>
      <x:c r="C166" s="6"/>
      <x:c r="D166" s="6"/>
      <x:c r="E166" s="6"/>
      <x:c r="F166" s="18"/>
      <x:c r="G166" s="18"/>
      <x:c r="H166" s="10"/>
      <x:c r="I166" s="6" t="str">
        <x:f t="shared" si="1"/>
      </x:c>
      <x:c r="J166" s="10"/>
    </x:row>
    <x:row r="167" ht="13.5" customHeight="1">
      <x:c r="A167" s="6"/>
      <x:c r="B167" s="6"/>
      <x:c r="C167" s="6"/>
      <x:c r="D167" s="6"/>
      <x:c r="E167" s="6"/>
      <x:c r="F167" s="18"/>
      <x:c r="G167" s="18"/>
      <x:c r="H167" s="10"/>
      <x:c r="I167" s="6" t="str">
        <x:f t="shared" si="1"/>
      </x:c>
      <x:c r="J167" s="10"/>
    </x:row>
    <x:row r="168" ht="13.5" customHeight="1">
      <x:c r="A168" s="6"/>
      <x:c r="B168" s="6"/>
      <x:c r="C168" s="6"/>
      <x:c r="D168" s="6"/>
      <x:c r="E168" s="6"/>
      <x:c r="F168" s="18"/>
      <x:c r="G168" s="18"/>
      <x:c r="H168" s="10"/>
      <x:c r="I168" s="6" t="str">
        <x:f t="shared" si="1"/>
      </x:c>
      <x:c r="J168" s="10"/>
    </x:row>
    <x:row r="169" ht="13.5" customHeight="1">
      <x:c r="A169" s="6"/>
      <x:c r="B169" s="6"/>
      <x:c r="C169" s="6"/>
      <x:c r="D169" s="6"/>
      <x:c r="E169" s="6"/>
      <x:c r="F169" s="18"/>
      <x:c r="G169" s="18"/>
      <x:c r="H169" s="10"/>
      <x:c r="I169" s="6" t="str">
        <x:f t="shared" si="1"/>
      </x:c>
      <x:c r="J169" s="10"/>
    </x:row>
    <x:row r="170" ht="13.5" customHeight="1">
      <x:c r="A170" s="6"/>
      <x:c r="B170" s="6"/>
      <x:c r="C170" s="6"/>
      <x:c r="D170" s="6"/>
      <x:c r="E170" s="6"/>
      <x:c r="F170" s="18"/>
      <x:c r="G170" s="18"/>
      <x:c r="H170" s="10"/>
      <x:c r="I170" s="6" t="str">
        <x:f t="shared" si="1"/>
      </x:c>
      <x:c r="J170" s="10"/>
    </x:row>
    <x:row r="171" ht="13.5" customHeight="1">
      <x:c r="A171" s="6"/>
      <x:c r="B171" s="6"/>
      <x:c r="C171" s="6"/>
      <x:c r="D171" s="6"/>
      <x:c r="E171" s="6"/>
      <x:c r="F171" s="18"/>
      <x:c r="G171" s="18"/>
      <x:c r="H171" s="10"/>
      <x:c r="I171" s="6" t="str">
        <x:f t="shared" si="1"/>
      </x:c>
      <x:c r="J171" s="10"/>
    </x:row>
    <x:row r="172" ht="13.5" customHeight="1">
      <x:c r="A172" s="6"/>
      <x:c r="B172" s="6"/>
      <x:c r="C172" s="6"/>
      <x:c r="D172" s="6"/>
      <x:c r="E172" s="6"/>
      <x:c r="F172" s="18"/>
      <x:c r="G172" s="18"/>
      <x:c r="H172" s="10"/>
      <x:c r="I172" s="6" t="str">
        <x:f t="shared" si="1"/>
      </x:c>
      <x:c r="J172" s="10"/>
    </x:row>
    <x:row r="173" ht="13.5" customHeight="1">
      <x:c r="A173" s="6"/>
      <x:c r="B173" s="6"/>
      <x:c r="C173" s="6"/>
      <x:c r="D173" s="6"/>
      <x:c r="E173" s="6"/>
      <x:c r="F173" s="18"/>
      <x:c r="G173" s="18"/>
      <x:c r="H173" s="10"/>
      <x:c r="I173" s="6" t="str">
        <x:f t="shared" si="1"/>
      </x:c>
      <x:c r="J173" s="10"/>
    </x:row>
    <x:row r="174" ht="13.5" customHeight="1">
      <x:c r="A174" s="6"/>
      <x:c r="B174" s="6"/>
      <x:c r="C174" s="6"/>
      <x:c r="D174" s="6"/>
      <x:c r="E174" s="6"/>
      <x:c r="F174" s="18"/>
      <x:c r="G174" s="18"/>
      <x:c r="H174" s="10"/>
      <x:c r="I174" s="6" t="str">
        <x:f t="shared" si="1"/>
      </x:c>
      <x:c r="J174" s="10"/>
    </x:row>
    <x:row r="175" ht="13.5" customHeight="1">
      <x:c r="A175" s="6"/>
      <x:c r="B175" s="6"/>
      <x:c r="C175" s="6"/>
      <x:c r="D175" s="6"/>
      <x:c r="E175" s="6"/>
      <x:c r="F175" s="18"/>
      <x:c r="G175" s="18"/>
      <x:c r="H175" s="10"/>
      <x:c r="I175" s="6" t="str">
        <x:f t="shared" si="1"/>
      </x:c>
      <x:c r="J175" s="10"/>
    </x:row>
    <x:row r="176" ht="13.5" customHeight="1">
      <x:c r="A176" s="6"/>
      <x:c r="B176" s="6"/>
      <x:c r="C176" s="6"/>
      <x:c r="D176" s="6"/>
      <x:c r="E176" s="6"/>
      <x:c r="F176" s="18"/>
      <x:c r="G176" s="18"/>
      <x:c r="H176" s="10"/>
      <x:c r="I176" s="6" t="str">
        <x:f t="shared" si="1"/>
      </x:c>
      <x:c r="J176" s="10"/>
    </x:row>
    <x:row r="177" ht="13.5" customHeight="1">
      <x:c r="A177" s="6"/>
      <x:c r="B177" s="6"/>
      <x:c r="C177" s="6"/>
      <x:c r="D177" s="6"/>
      <x:c r="E177" s="6"/>
      <x:c r="F177" s="18"/>
      <x:c r="G177" s="18"/>
      <x:c r="H177" s="10"/>
      <x:c r="I177" s="6" t="str">
        <x:f t="shared" si="1"/>
      </x:c>
      <x:c r="J177" s="10"/>
    </x:row>
    <x:row r="178" ht="13.5" customHeight="1">
      <x:c r="A178" s="6"/>
      <x:c r="B178" s="6"/>
      <x:c r="C178" s="6"/>
      <x:c r="D178" s="6"/>
      <x:c r="E178" s="6"/>
      <x:c r="F178" s="18"/>
      <x:c r="G178" s="18"/>
      <x:c r="H178" s="10"/>
      <x:c r="I178" s="6" t="str">
        <x:f t="shared" si="1"/>
      </x:c>
      <x:c r="J178" s="10"/>
    </x:row>
    <x:row r="179" ht="13.5" customHeight="1">
      <x:c r="A179" s="6"/>
      <x:c r="B179" s="6"/>
      <x:c r="C179" s="6"/>
      <x:c r="D179" s="6"/>
      <x:c r="E179" s="6"/>
      <x:c r="F179" s="18"/>
      <x:c r="G179" s="18"/>
      <x:c r="H179" s="10"/>
      <x:c r="I179" s="6" t="str">
        <x:f t="shared" si="1"/>
      </x:c>
      <x:c r="J179" s="10"/>
    </x:row>
    <x:row r="180" ht="13.5" customHeight="1">
      <x:c r="A180" s="6"/>
      <x:c r="B180" s="6"/>
      <x:c r="C180" s="6"/>
      <x:c r="D180" s="6"/>
      <x:c r="E180" s="6"/>
      <x:c r="F180" s="18"/>
      <x:c r="G180" s="18"/>
      <x:c r="H180" s="10"/>
      <x:c r="I180" s="6" t="str">
        <x:f t="shared" si="1"/>
      </x:c>
      <x:c r="J180" s="10"/>
    </x:row>
    <x:row r="181" ht="13.5" customHeight="1">
      <x:c r="A181" s="6"/>
      <x:c r="B181" s="6"/>
      <x:c r="C181" s="6"/>
      <x:c r="D181" s="6"/>
      <x:c r="E181" s="6"/>
      <x:c r="F181" s="18"/>
      <x:c r="G181" s="18"/>
      <x:c r="H181" s="10"/>
      <x:c r="I181" s="6" t="str">
        <x:f t="shared" si="1"/>
      </x:c>
      <x:c r="J181" s="10"/>
    </x:row>
    <x:row r="182" ht="13.5" customHeight="1">
      <x:c r="A182" s="6"/>
      <x:c r="B182" s="6"/>
      <x:c r="C182" s="6"/>
      <x:c r="D182" s="6"/>
      <x:c r="E182" s="6"/>
      <x:c r="F182" s="18"/>
      <x:c r="G182" s="18"/>
      <x:c r="H182" s="10"/>
      <x:c r="I182" s="6" t="str">
        <x:f t="shared" si="1"/>
      </x:c>
      <x:c r="J182" s="10"/>
    </x:row>
    <x:row r="183" ht="13.5" customHeight="1">
      <x:c r="A183" s="6"/>
      <x:c r="B183" s="6"/>
      <x:c r="C183" s="6"/>
      <x:c r="D183" s="6"/>
      <x:c r="E183" s="6"/>
      <x:c r="F183" s="18"/>
      <x:c r="G183" s="18"/>
      <x:c r="H183" s="10"/>
      <x:c r="I183" s="6" t="str">
        <x:f t="shared" si="1"/>
      </x:c>
      <x:c r="J183" s="10"/>
    </x:row>
    <x:row r="184" ht="13.5" customHeight="1">
      <x:c r="A184" s="6"/>
      <x:c r="B184" s="6"/>
      <x:c r="C184" s="6"/>
      <x:c r="D184" s="6"/>
      <x:c r="E184" s="6"/>
      <x:c r="F184" s="18"/>
      <x:c r="G184" s="18"/>
      <x:c r="H184" s="10"/>
      <x:c r="I184" s="6" t="str">
        <x:f t="shared" si="1"/>
      </x:c>
      <x:c r="J184" s="10"/>
    </x:row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dataValidations count="1">
    <x:dataValidation type="list" allowBlank="1" sqref="G5:G184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4" width="8.630000114440918" customWidth="1"/>
    <x:col min="5" max="5" width="16.6299991607666" customWidth="1"/>
    <x:col min="6" max="26" width="8.630000114440918" customWidth="1"/>
  </x:cols>
  <x:sheetData>
    <x:row r="1">
      <x:c r="A1" s="19" t="s">
        <x:v>102</x:v>
      </x:c>
    </x:row>
    <x:row r="2">
      <x:c r="A2" s="19" t="s">
        <x:v>80</x:v>
      </x:c>
    </x:row>
    <x:row r="4">
      <x:c r="A4" s="19" t="s">
        <x:v>81</x:v>
      </x:c>
      <x:c r="B4" s="19" t="s">
        <x:v>82</x:v>
      </x:c>
      <x:c r="C4" s="19" t="s">
        <x:v>83</x:v>
      </x:c>
      <x:c r="D4" s="19" t="s">
        <x:v>84</x:v>
      </x:c>
      <x:c r="E4" s="19" t="s">
        <x:v>85</x:v>
      </x:c>
      <x:c r="F4" s="19" t="s">
        <x:v>86</x:v>
      </x:c>
      <x:c r="G4" s="19" t="s">
        <x:v>87</x:v>
      </x:c>
      <x:c r="H4" s="19" t="s">
        <x:v>88</x:v>
      </x:c>
      <x:c r="I4" s="19" t="s">
        <x:v>89</x:v>
      </x:c>
      <x:c r="J4" s="19" t="s">
        <x:v>38</x:v>
      </x:c>
    </x:row>
    <x:row r="5">
      <x:c r="A5" s="19">
        <x:v>1.0</x:v>
      </x:c>
      <x:c r="B5" s="19" t="s">
        <x:v>90</x:v>
      </x:c>
      <x:c r="C5" s="19">
        <x:v>1.0</x:v>
      </x:c>
      <x:c r="D5" s="19">
        <x:v>1.0</x:v>
      </x:c>
      <x:c r="E5" s="19" t="str">
        <x:f>IFERROR(IF(VLOOKUP(D5,Giocatori!$A$4:$C$48,2,FALSE)&lt;&gt;"",VLOOKUP(D5,Giocatori!$A$4:$C$48,2,FALSE),"Giocatore "&amp;D5),"Giocatore "&amp;D5)</x:f>
        <x:v>Zio Raffaele</x:v>
      </x:c>
      <x:c r="H5" s="19">
        <x:v>0.0</x:v>
      </x:c>
      <x:c r="I5" s="19" t="str">
        <x:f t="shared" ref="I5:I94" si="1">IF(OR(G5="",G5&lt;1,G5&gt;5),"",CHOOSE(G5,9,6,4,2,1)+2*IF(H5="",0,H5))</x:f>
      </x:c>
    </x:row>
    <x:row r="6">
      <x:c r="A6" s="19">
        <x:v>1.0</x:v>
      </x:c>
      <x:c r="B6" s="19" t="s">
        <x:v>90</x:v>
      </x:c>
      <x:c r="C6" s="19">
        <x:v>2.0</x:v>
      </x:c>
      <x:c r="D6" s="19">
        <x:v>2.0</x:v>
      </x:c>
      <x:c r="E6" s="19" t="str">
        <x:f>IFERROR(IF(VLOOKUP(D6,Giocatori!$A$4:$C$48,2,FALSE)&lt;&gt;"",VLOOKUP(D6,Giocatori!$A$4:$C$48,2,FALSE),"Giocatore "&amp;D6),"Giocatore "&amp;D6)</x:f>
        <x:v>Nicola Mauro</x:v>
      </x:c>
      <x:c r="H6" s="19">
        <x:v>0.0</x:v>
      </x:c>
      <x:c r="I6" s="19" t="str">
        <x:f t="shared" si="1"/>
      </x:c>
    </x:row>
    <x:row r="7">
      <x:c r="A7" s="19">
        <x:v>1.0</x:v>
      </x:c>
      <x:c r="B7" s="19" t="s">
        <x:v>90</x:v>
      </x:c>
      <x:c r="C7" s="19">
        <x:v>3.0</x:v>
      </x:c>
      <x:c r="D7" s="19">
        <x:v>3.0</x:v>
      </x:c>
      <x:c r="E7" s="19" t="str">
        <x:f>IFERROR(IF(VLOOKUP(D7,Giocatori!$A$4:$C$48,2,FALSE)&lt;&gt;"",VLOOKUP(D7,Giocatori!$A$4:$C$48,2,FALSE),"Giocatore "&amp;D7),"Giocatore "&amp;D7)</x:f>
        <x:v>Beracci Lucio</x:v>
      </x:c>
      <x:c r="H7" s="19">
        <x:v>0.0</x:v>
      </x:c>
      <x:c r="I7" s="19" t="str">
        <x:f t="shared" si="1"/>
      </x:c>
    </x:row>
    <x:row r="8">
      <x:c r="A8" s="19">
        <x:v>1.0</x:v>
      </x:c>
      <x:c r="B8" s="19" t="s">
        <x:v>90</x:v>
      </x:c>
      <x:c r="C8" s="19">
        <x:v>4.0</x:v>
      </x:c>
      <x:c r="D8" s="19">
        <x:v>4.0</x:v>
      </x:c>
      <x:c r="E8" s="19" t="str">
        <x:f>IFERROR(IF(VLOOKUP(D8,Giocatori!$A$4:$C$48,2,FALSE)&lt;&gt;"",VLOOKUP(D8,Giocatori!$A$4:$C$48,2,FALSE),"Giocatore "&amp;D8),"Giocatore "&amp;D8)</x:f>
        <x:v>Annunziata Michele</x:v>
      </x:c>
      <x:c r="H8" s="19">
        <x:v>0.0</x:v>
      </x:c>
      <x:c r="I8" s="19" t="str">
        <x:f t="shared" si="1"/>
      </x:c>
    </x:row>
    <x:row r="9">
      <x:c r="A9" s="19">
        <x:v>1.0</x:v>
      </x:c>
      <x:c r="B9" s="19" t="s">
        <x:v>90</x:v>
      </x:c>
      <x:c r="C9" s="19">
        <x:v>5.0</x:v>
      </x:c>
      <x:c r="D9" s="19">
        <x:v>5.0</x:v>
      </x:c>
      <x:c r="E9" s="19" t="str">
        <x:f>IFERROR(IF(VLOOKUP(D9,Giocatori!$A$4:$C$48,2,FALSE)&lt;&gt;"",VLOOKUP(D9,Giocatori!$A$4:$C$48,2,FALSE),"Giocatore "&amp;D9),"Giocatore "&amp;D9)</x:f>
        <x:v>La Marca Carlo</x:v>
      </x:c>
      <x:c r="H9" s="19">
        <x:v>0.0</x:v>
      </x:c>
      <x:c r="I9" s="19" t="str">
        <x:f t="shared" si="1"/>
      </x:c>
    </x:row>
    <x:row r="10">
      <x:c r="A10" s="19">
        <x:v>1.0</x:v>
      </x:c>
      <x:c r="B10" s="19" t="s">
        <x:v>91</x:v>
      </x:c>
      <x:c r="C10" s="19">
        <x:v>1.0</x:v>
      </x:c>
      <x:c r="D10" s="19">
        <x:v>6.0</x:v>
      </x:c>
      <x:c r="E10" s="19" t="str">
        <x:f>IFERROR(IF(VLOOKUP(D10,Giocatori!$A$4:$C$48,2,FALSE)&lt;&gt;"",VLOOKUP(D10,Giocatori!$A$4:$C$48,2,FALSE),"Giocatore "&amp;D10),"Giocatore "&amp;D10)</x:f>
        <x:v>Sommese Antonio</x:v>
      </x:c>
      <x:c r="H10" s="19">
        <x:v>0.0</x:v>
      </x:c>
      <x:c r="I10" s="19" t="str">
        <x:f t="shared" si="1"/>
      </x:c>
    </x:row>
    <x:row r="11">
      <x:c r="A11" s="19">
        <x:v>1.0</x:v>
      </x:c>
      <x:c r="B11" s="19" t="s">
        <x:v>91</x:v>
      </x:c>
      <x:c r="C11" s="19">
        <x:v>2.0</x:v>
      </x:c>
      <x:c r="D11" s="19">
        <x:v>7.0</x:v>
      </x:c>
      <x:c r="E11" s="19" t="str">
        <x:f>IFERROR(IF(VLOOKUP(D11,Giocatori!$A$4:$C$48,2,FALSE)&lt;&gt;"",VLOOKUP(D11,Giocatori!$A$4:$C$48,2,FALSE),"Giocatore "&amp;D11),"Giocatore "&amp;D11)</x:f>
        <x:v>Notaro massimo</x:v>
      </x:c>
      <x:c r="H11" s="19">
        <x:v>0.0</x:v>
      </x:c>
      <x:c r="I11" s="19" t="str">
        <x:f t="shared" si="1"/>
      </x:c>
    </x:row>
    <x:row r="12">
      <x:c r="A12" s="19">
        <x:v>1.0</x:v>
      </x:c>
      <x:c r="B12" s="19" t="s">
        <x:v>91</x:v>
      </x:c>
      <x:c r="C12" s="19">
        <x:v>3.0</x:v>
      </x:c>
      <x:c r="D12" s="19">
        <x:v>8.0</x:v>
      </x:c>
      <x:c r="E12" s="19" t="str">
        <x:f>IFERROR(IF(VLOOKUP(D12,Giocatori!$A$4:$C$48,2,FALSE)&lt;&gt;"",VLOOKUP(D12,Giocatori!$A$4:$C$48,2,FALSE),"Giocatore "&amp;D12),"Giocatore "&amp;D12)</x:f>
        <x:v>Beracci Benedetto</x:v>
      </x:c>
      <x:c r="H12" s="19">
        <x:v>0.0</x:v>
      </x:c>
      <x:c r="I12" s="19" t="str">
        <x:f t="shared" si="1"/>
      </x:c>
    </x:row>
    <x:row r="13">
      <x:c r="A13" s="19">
        <x:v>1.0</x:v>
      </x:c>
      <x:c r="B13" s="19" t="s">
        <x:v>91</x:v>
      </x:c>
      <x:c r="C13" s="19">
        <x:v>4.0</x:v>
      </x:c>
      <x:c r="D13" s="19">
        <x:v>9.0</x:v>
      </x:c>
      <x:c r="E13" s="19" t="str">
        <x:f>IFERROR(IF(VLOOKUP(D13,Giocatori!$A$4:$C$48,2,FALSE)&lt;&gt;"",VLOOKUP(D13,Giocatori!$A$4:$C$48,2,FALSE),"Giocatore "&amp;D13),"Giocatore "&amp;D13)</x:f>
        <x:v>Atria Gregorio</x:v>
      </x:c>
      <x:c r="H13" s="19">
        <x:v>0.0</x:v>
      </x:c>
      <x:c r="I13" s="19" t="str">
        <x:f t="shared" si="1"/>
      </x:c>
    </x:row>
    <x:row r="14">
      <x:c r="A14" s="19">
        <x:v>1.0</x:v>
      </x:c>
      <x:c r="B14" s="19" t="s">
        <x:v>91</x:v>
      </x:c>
      <x:c r="C14" s="19">
        <x:v>5.0</x:v>
      </x:c>
      <x:c r="D14" s="19">
        <x:v>10.0</x:v>
      </x:c>
      <x:c r="E14" s="19" t="str">
        <x:f>IFERROR(IF(VLOOKUP(D14,Giocatori!$A$4:$C$48,2,FALSE)&lt;&gt;"",VLOOKUP(D14,Giocatori!$A$4:$C$48,2,FALSE),"Giocatore "&amp;D14),"Giocatore "&amp;D14)</x:f>
        <x:v>Caliendo Nunzio</x:v>
      </x:c>
      <x:c r="H14" s="19">
        <x:v>0.0</x:v>
      </x:c>
      <x:c r="I14" s="19" t="str">
        <x:f t="shared" si="1"/>
      </x:c>
    </x:row>
    <x:row r="15">
      <x:c r="A15" s="19">
        <x:v>1.0</x:v>
      </x:c>
      <x:c r="B15" s="19" t="s">
        <x:v>92</x:v>
      </x:c>
      <x:c r="C15" s="19">
        <x:v>1.0</x:v>
      </x:c>
      <x:c r="D15" s="19">
        <x:v>11.0</x:v>
      </x:c>
      <x:c r="E15" s="19" t="str">
        <x:f>IFERROR(IF(VLOOKUP(D15,Giocatori!$A$4:$C$48,2,FALSE)&lt;&gt;"",VLOOKUP(D15,Giocatori!$A$4:$C$48,2,FALSE),"Giocatore "&amp;D15),"Giocatore "&amp;D15)</x:f>
        <x:v>Moccia Biagio</x:v>
      </x:c>
      <x:c r="H15" s="19">
        <x:v>0.0</x:v>
      </x:c>
      <x:c r="I15" s="19" t="str">
        <x:f t="shared" si="1"/>
      </x:c>
    </x:row>
    <x:row r="16">
      <x:c r="A16" s="19">
        <x:v>1.0</x:v>
      </x:c>
      <x:c r="B16" s="19" t="s">
        <x:v>92</x:v>
      </x:c>
      <x:c r="C16" s="19">
        <x:v>2.0</x:v>
      </x:c>
      <x:c r="D16" s="19">
        <x:v>12.0</x:v>
      </x:c>
      <x:c r="E16" s="19" t="str">
        <x:f>IFERROR(IF(VLOOKUP(D16,Giocatori!$A$4:$C$48,2,FALSE)&lt;&gt;"",VLOOKUP(D16,Giocatori!$A$4:$C$48,2,FALSE),"Giocatore "&amp;D16),"Giocatore "&amp;D16)</x:f>
        <x:v>De Falco Andrea</x:v>
      </x:c>
      <x:c r="H16" s="19">
        <x:v>0.0</x:v>
      </x:c>
      <x:c r="I16" s="19" t="str">
        <x:f t="shared" si="1"/>
      </x:c>
    </x:row>
    <x:row r="17">
      <x:c r="A17" s="19">
        <x:v>1.0</x:v>
      </x:c>
      <x:c r="B17" s="19" t="s">
        <x:v>92</x:v>
      </x:c>
      <x:c r="C17" s="19">
        <x:v>3.0</x:v>
      </x:c>
      <x:c r="D17" s="19">
        <x:v>13.0</x:v>
      </x:c>
      <x:c r="E17" s="19" t="str">
        <x:f>IFERROR(IF(VLOOKUP(D17,Giocatori!$A$4:$C$48,2,FALSE)&lt;&gt;"",VLOOKUP(D17,Giocatori!$A$4:$C$48,2,FALSE),"Giocatore "&amp;D17),"Giocatore "&amp;D17)</x:f>
        <x:v>Corbo Alessandro</x:v>
      </x:c>
      <x:c r="H17" s="19">
        <x:v>0.0</x:v>
      </x:c>
      <x:c r="I17" s="19" t="str">
        <x:f t="shared" si="1"/>
      </x:c>
    </x:row>
    <x:row r="18">
      <x:c r="A18" s="19">
        <x:v>1.0</x:v>
      </x:c>
      <x:c r="B18" s="19" t="s">
        <x:v>92</x:v>
      </x:c>
      <x:c r="C18" s="19">
        <x:v>4.0</x:v>
      </x:c>
      <x:c r="D18" s="19">
        <x:v>14.0</x:v>
      </x:c>
      <x:c r="E18" s="19" t="str">
        <x:f>IFERROR(IF(VLOOKUP(D18,Giocatori!$A$4:$C$48,2,FALSE)&lt;&gt;"",VLOOKUP(D18,Giocatori!$A$4:$C$48,2,FALSE),"Giocatore "&amp;D18),"Giocatore "&amp;D18)</x:f>
        <x:v>Botta Francesco</x:v>
      </x:c>
      <x:c r="H18" s="19">
        <x:v>0.0</x:v>
      </x:c>
      <x:c r="I18" s="19" t="str">
        <x:f t="shared" si="1"/>
      </x:c>
    </x:row>
    <x:row r="19">
      <x:c r="A19" s="19">
        <x:v>1.0</x:v>
      </x:c>
      <x:c r="B19" s="19" t="s">
        <x:v>92</x:v>
      </x:c>
      <x:c r="C19" s="19">
        <x:v>5.0</x:v>
      </x:c>
      <x:c r="D19" s="19">
        <x:v>15.0</x:v>
      </x:c>
      <x:c r="E19" s="19" t="str">
        <x:f>IFERROR(IF(VLOOKUP(D19,Giocatori!$A$4:$C$48,2,FALSE)&lt;&gt;"",VLOOKUP(D19,Giocatori!$A$4:$C$48,2,FALSE),"Giocatore "&amp;D19),"Giocatore "&amp;D19)</x:f>
        <x:v>Tufano Antonio</x:v>
      </x:c>
      <x:c r="H19" s="19">
        <x:v>0.0</x:v>
      </x:c>
      <x:c r="I19" s="19" t="str">
        <x:f t="shared" si="1"/>
      </x:c>
    </x:row>
    <x:row r="20">
      <x:c r="A20" s="19">
        <x:v>1.0</x:v>
      </x:c>
      <x:c r="B20" s="19" t="s">
        <x:v>93</x:v>
      </x:c>
      <x:c r="C20" s="19">
        <x:v>1.0</x:v>
      </x:c>
      <x:c r="D20" s="19">
        <x:v>16.0</x:v>
      </x:c>
      <x:c r="E20" s="19" t="str">
        <x:f>IFERROR(IF(VLOOKUP(D20,Giocatori!$A$4:$C$48,2,FALSE)&lt;&gt;"",VLOOKUP(D20,Giocatori!$A$4:$C$48,2,FALSE),"Giocatore "&amp;D20),"Giocatore "&amp;D20)</x:f>
        <x:v>Iorio Raffaele</x:v>
      </x:c>
      <x:c r="H20" s="19">
        <x:v>0.0</x:v>
      </x:c>
      <x:c r="I20" s="19" t="str">
        <x:f t="shared" si="1"/>
      </x:c>
    </x:row>
    <x:row r="21" ht="15.75" customHeight="1">
      <x:c r="A21" s="19">
        <x:v>1.0</x:v>
      </x:c>
      <x:c r="B21" s="19" t="s">
        <x:v>93</x:v>
      </x:c>
      <x:c r="C21" s="19">
        <x:v>2.0</x:v>
      </x:c>
      <x:c r="D21" s="19">
        <x:v>17.0</x:v>
      </x:c>
      <x:c r="E21" s="19" t="str">
        <x:f>IFERROR(IF(VLOOKUP(D21,Giocatori!$A$4:$C$48,2,FALSE)&lt;&gt;"",VLOOKUP(D21,Giocatori!$A$4:$C$48,2,FALSE),"Giocatore "&amp;D21),"Giocatore "&amp;D21)</x:f>
        <x:v>Scogliamiglio Alfredo</x:v>
      </x:c>
      <x:c r="H21" s="19">
        <x:v>0.0</x:v>
      </x:c>
      <x:c r="I21" s="19" t="str">
        <x:f t="shared" si="1"/>
      </x:c>
    </x:row>
    <x:row r="22" ht="15.75" customHeight="1">
      <x:c r="A22" s="19">
        <x:v>1.0</x:v>
      </x:c>
      <x:c r="B22" s="19" t="s">
        <x:v>93</x:v>
      </x:c>
      <x:c r="C22" s="19">
        <x:v>3.0</x:v>
      </x:c>
      <x:c r="D22" s="19">
        <x:v>18.0</x:v>
      </x:c>
      <x:c r="E22" s="19" t="str">
        <x:f>IFERROR(IF(VLOOKUP(D22,Giocatori!$A$4:$C$48,2,FALSE)&lt;&gt;"",VLOOKUP(D22,Giocatori!$A$4:$C$48,2,FALSE),"Giocatore "&amp;D22),"Giocatore "&amp;D22)</x:f>
        <x:v>Cafarelli Manolo</x:v>
      </x:c>
      <x:c r="H22" s="19">
        <x:v>0.0</x:v>
      </x:c>
      <x:c r="I22" s="19" t="str">
        <x:f t="shared" si="1"/>
      </x:c>
    </x:row>
    <x:row r="23" ht="15.75" customHeight="1">
      <x:c r="A23" s="19">
        <x:v>1.0</x:v>
      </x:c>
      <x:c r="B23" s="19" t="s">
        <x:v>93</x:v>
      </x:c>
      <x:c r="C23" s="19">
        <x:v>4.0</x:v>
      </x:c>
      <x:c r="D23" s="19">
        <x:v>19.0</x:v>
      </x:c>
      <x:c r="E23" s="19" t="str">
        <x:f>IFERROR(IF(VLOOKUP(D23,Giocatori!$A$4:$C$48,2,FALSE)&lt;&gt;"",VLOOKUP(D23,Giocatori!$A$4:$C$48,2,FALSE),"Giocatore "&amp;D23),"Giocatore "&amp;D23)</x:f>
        <x:v>Fuschillo Franco</x:v>
      </x:c>
      <x:c r="H23" s="19">
        <x:v>0.0</x:v>
      </x:c>
      <x:c r="I23" s="19" t="str">
        <x:f t="shared" si="1"/>
      </x:c>
    </x:row>
    <x:row r="24" ht="15.75" customHeight="1">
      <x:c r="A24" s="19">
        <x:v>1.0</x:v>
      </x:c>
      <x:c r="B24" s="19" t="s">
        <x:v>93</x:v>
      </x:c>
      <x:c r="C24" s="19">
        <x:v>5.0</x:v>
      </x:c>
      <x:c r="D24" s="19">
        <x:v>20.0</x:v>
      </x:c>
      <x:c r="E24" s="19" t="str">
        <x:f>IFERROR(IF(VLOOKUP(D24,Giocatori!$A$4:$C$48,2,FALSE)&lt;&gt;"",VLOOKUP(D24,Giocatori!$A$4:$C$48,2,FALSE),"Giocatore "&amp;D24),"Giocatore "&amp;D24)</x:f>
        <x:v>Di Grazia Salvatore</x:v>
      </x:c>
      <x:c r="H24" s="19">
        <x:v>0.0</x:v>
      </x:c>
      <x:c r="I24" s="19" t="str">
        <x:f t="shared" si="1"/>
      </x:c>
    </x:row>
    <x:row r="25" ht="15.75" customHeight="1">
      <x:c r="A25" s="19">
        <x:v>1.0</x:v>
      </x:c>
      <x:c r="B25" s="19" t="s">
        <x:v>94</x:v>
      </x:c>
      <x:c r="C25" s="19">
        <x:v>1.0</x:v>
      </x:c>
      <x:c r="D25" s="19">
        <x:v>21.0</x:v>
      </x:c>
      <x:c r="E25" s="19" t="str">
        <x:f>IFERROR(IF(VLOOKUP(D25,Giocatori!$A$4:$C$48,2,FALSE)&lt;&gt;"",VLOOKUP(D25,Giocatori!$A$4:$C$48,2,FALSE),"Giocatore "&amp;D25),"Giocatore "&amp;D25)</x:f>
        <x:v>Mauro Candice</x:v>
      </x:c>
      <x:c r="H25" s="19">
        <x:v>0.0</x:v>
      </x:c>
      <x:c r="I25" s="19" t="str">
        <x:f t="shared" si="1"/>
      </x:c>
    </x:row>
    <x:row r="26" ht="15.75" customHeight="1">
      <x:c r="A26" s="19">
        <x:v>1.0</x:v>
      </x:c>
      <x:c r="B26" s="19" t="s">
        <x:v>94</x:v>
      </x:c>
      <x:c r="C26" s="19">
        <x:v>2.0</x:v>
      </x:c>
      <x:c r="D26" s="19">
        <x:v>22.0</x:v>
      </x:c>
      <x:c r="E26" s="19" t="str">
        <x:f>IFERROR(IF(VLOOKUP(D26,Giocatori!$A$4:$C$48,2,FALSE)&lt;&gt;"",VLOOKUP(D26,Giocatori!$A$4:$C$48,2,FALSE),"Giocatore "&amp;D26),"Giocatore "&amp;D26)</x:f>
        <x:v>Michele Zappone</x:v>
      </x:c>
      <x:c r="H26" s="19">
        <x:v>0.0</x:v>
      </x:c>
      <x:c r="I26" s="19" t="str">
        <x:f t="shared" si="1"/>
      </x:c>
    </x:row>
    <x:row r="27" ht="15.75" customHeight="1">
      <x:c r="A27" s="19">
        <x:v>1.0</x:v>
      </x:c>
      <x:c r="B27" s="19" t="s">
        <x:v>94</x:v>
      </x:c>
      <x:c r="C27" s="19">
        <x:v>3.0</x:v>
      </x:c>
      <x:c r="D27" s="19">
        <x:v>23.0</x:v>
      </x:c>
      <x:c r="E27" s="19" t="str">
        <x:f>IFERROR(IF(VLOOKUP(D27,Giocatori!$A$4:$C$48,2,FALSE)&lt;&gt;"",VLOOKUP(D27,Giocatori!$A$4:$C$48,2,FALSE),"Giocatore "&amp;D27),"Giocatore "&amp;D27)</x:f>
        <x:v>Amato Alessandro</x:v>
      </x:c>
      <x:c r="H27" s="19">
        <x:v>0.0</x:v>
      </x:c>
      <x:c r="I27" s="19" t="str">
        <x:f t="shared" si="1"/>
      </x:c>
    </x:row>
    <x:row r="28" ht="15.75" customHeight="1">
      <x:c r="A28" s="19">
        <x:v>1.0</x:v>
      </x:c>
      <x:c r="B28" s="19" t="s">
        <x:v>94</x:v>
      </x:c>
      <x:c r="C28" s="19">
        <x:v>4.0</x:v>
      </x:c>
      <x:c r="D28" s="19">
        <x:v>24.0</x:v>
      </x:c>
      <x:c r="E28" s="19" t="str">
        <x:f>IFERROR(IF(VLOOKUP(D28,Giocatori!$A$4:$C$48,2,FALSE)&lt;&gt;"",VLOOKUP(D28,Giocatori!$A$4:$C$48,2,FALSE),"Giocatore "&amp;D28),"Giocatore "&amp;D28)</x:f>
        <x:v>Napolitano Pasquale</x:v>
      </x:c>
      <x:c r="H28" s="19">
        <x:v>0.0</x:v>
      </x:c>
      <x:c r="I28" s="19" t="str">
        <x:f t="shared" si="1"/>
      </x:c>
    </x:row>
    <x:row r="29" ht="15.75" customHeight="1">
      <x:c r="A29" s="19">
        <x:v>1.0</x:v>
      </x:c>
      <x:c r="B29" s="19" t="s">
        <x:v>94</x:v>
      </x:c>
      <x:c r="C29" s="19">
        <x:v>5.0</x:v>
      </x:c>
      <x:c r="D29" s="19">
        <x:v>25.0</x:v>
      </x:c>
      <x:c r="E29" s="19" t="str">
        <x:f>IFERROR(IF(VLOOKUP(D29,Giocatori!$A$4:$C$48,2,FALSE)&lt;&gt;"",VLOOKUP(D29,Giocatori!$A$4:$C$48,2,FALSE),"Giocatore "&amp;D29),"Giocatore "&amp;D29)</x:f>
        <x:v>Fontanella Giuseppe</x:v>
      </x:c>
      <x:c r="H29" s="19">
        <x:v>0.0</x:v>
      </x:c>
      <x:c r="I29" s="19" t="str">
        <x:f t="shared" si="1"/>
      </x:c>
    </x:row>
    <x:row r="30" ht="15.75" customHeight="1">
      <x:c r="A30" s="19">
        <x:v>1.0</x:v>
      </x:c>
      <x:c r="B30" s="19" t="s">
        <x:v>95</x:v>
      </x:c>
      <x:c r="C30" s="19">
        <x:v>1.0</x:v>
      </x:c>
      <x:c r="D30" s="19">
        <x:v>26.0</x:v>
      </x:c>
      <x:c r="E30" s="19" t="str">
        <x:f>IFERROR(IF(VLOOKUP(D30,Giocatori!$A$4:$C$48,2,FALSE)&lt;&gt;"",VLOOKUP(D30,Giocatori!$A$4:$C$48,2,FALSE),"Giocatore "&amp;D30),"Giocatore "&amp;D30)</x:f>
        <x:v>La Marca Franco</x:v>
      </x:c>
      <x:c r="H30" s="19">
        <x:v>0.0</x:v>
      </x:c>
      <x:c r="I30" s="19" t="str">
        <x:f t="shared" si="1"/>
      </x:c>
    </x:row>
    <x:row r="31" ht="15.75" customHeight="1">
      <x:c r="A31" s="19">
        <x:v>1.0</x:v>
      </x:c>
      <x:c r="B31" s="19" t="s">
        <x:v>95</x:v>
      </x:c>
      <x:c r="C31" s="19">
        <x:v>2.0</x:v>
      </x:c>
      <x:c r="D31" s="19">
        <x:v>27.0</x:v>
      </x:c>
      <x:c r="E31" s="19" t="str">
        <x:f>IFERROR(IF(VLOOKUP(D31,Giocatori!$A$4:$C$48,2,FALSE)&lt;&gt;"",VLOOKUP(D31,Giocatori!$A$4:$C$48,2,FALSE),"Giocatore "&amp;D31),"Giocatore "&amp;D31)</x:f>
        <x:v>Tufano Michele</x:v>
      </x:c>
      <x:c r="H31" s="19">
        <x:v>0.0</x:v>
      </x:c>
      <x:c r="I31" s="19" t="str">
        <x:f t="shared" si="1"/>
      </x:c>
    </x:row>
    <x:row r="32" ht="15.75" customHeight="1">
      <x:c r="A32" s="19">
        <x:v>1.0</x:v>
      </x:c>
      <x:c r="B32" s="19" t="s">
        <x:v>95</x:v>
      </x:c>
      <x:c r="C32" s="19">
        <x:v>3.0</x:v>
      </x:c>
      <x:c r="D32" s="19">
        <x:v>28.0</x:v>
      </x:c>
      <x:c r="E32" s="19" t="str">
        <x:f>IFERROR(IF(VLOOKUP(D32,Giocatori!$A$4:$C$48,2,FALSE)&lt;&gt;"",VLOOKUP(D32,Giocatori!$A$4:$C$48,2,FALSE),"Giocatore "&amp;D32),"Giocatore "&amp;D32)</x:f>
        <x:v>Ambrosino Raffaele</x:v>
      </x:c>
      <x:c r="H32" s="19">
        <x:v>0.0</x:v>
      </x:c>
      <x:c r="I32" s="19" t="str">
        <x:f t="shared" si="1"/>
      </x:c>
    </x:row>
    <x:row r="33" ht="15.75" customHeight="1">
      <x:c r="A33" s="19">
        <x:v>1.0</x:v>
      </x:c>
      <x:c r="B33" s="19" t="s">
        <x:v>95</x:v>
      </x:c>
      <x:c r="C33" s="19">
        <x:v>4.0</x:v>
      </x:c>
      <x:c r="D33" s="19">
        <x:v>29.0</x:v>
      </x:c>
      <x:c r="E33" s="19" t="str">
        <x:f>IFERROR(IF(VLOOKUP(D33,Giocatori!$A$4:$C$48,2,FALSE)&lt;&gt;"",VLOOKUP(D33,Giocatori!$A$4:$C$48,2,FALSE),"Giocatore "&amp;D33),"Giocatore "&amp;D33)</x:f>
        <x:v>Tufano Giovanni</x:v>
      </x:c>
      <x:c r="H33" s="19">
        <x:v>0.0</x:v>
      </x:c>
      <x:c r="I33" s="19" t="str">
        <x:f t="shared" si="1"/>
      </x:c>
    </x:row>
    <x:row r="34" ht="15.75" customHeight="1">
      <x:c r="A34" s="19">
        <x:v>1.0</x:v>
      </x:c>
      <x:c r="B34" s="19" t="s">
        <x:v>95</x:v>
      </x:c>
      <x:c r="C34" s="19">
        <x:v>5.0</x:v>
      </x:c>
      <x:c r="D34" s="19">
        <x:v>30.0</x:v>
      </x:c>
      <x:c r="E34" s="19" t="str">
        <x:f>IFERROR(IF(VLOOKUP(D34,Giocatori!$A$4:$C$48,2,FALSE)&lt;&gt;"",VLOOKUP(D34,Giocatori!$A$4:$C$48,2,FALSE),"Giocatore "&amp;D34),"Giocatore "&amp;D34)</x:f>
        <x:v>Mauro Raffaele</x:v>
      </x:c>
      <x:c r="H34" s="19">
        <x:v>0.0</x:v>
      </x:c>
      <x:c r="I34" s="19" t="str">
        <x:f t="shared" si="1"/>
      </x:c>
    </x:row>
    <x:row r="35" ht="15.75" customHeight="1">
      <x:c r="A35" s="19">
        <x:v>2.0</x:v>
      </x:c>
      <x:c r="B35" s="19" t="s">
        <x:v>90</x:v>
      </x:c>
      <x:c r="C35" s="19">
        <x:v>1.0</x:v>
      </x:c>
      <x:c r="D35" s="19">
        <x:v>1.0</x:v>
      </x:c>
      <x:c r="E35" s="19" t="str">
        <x:f>IFERROR(IF(VLOOKUP(D35,Giocatori!$A$4:$C$48,2,FALSE)&lt;&gt;"",VLOOKUP(D35,Giocatori!$A$4:$C$48,2,FALSE),"Giocatore "&amp;D35),"Giocatore "&amp;D35)</x:f>
        <x:v>Zio Raffaele</x:v>
      </x:c>
      <x:c r="H35" s="19">
        <x:v>0.0</x:v>
      </x:c>
      <x:c r="I35" s="19" t="str">
        <x:f t="shared" si="1"/>
      </x:c>
    </x:row>
    <x:row r="36" ht="15.75" customHeight="1">
      <x:c r="A36" s="19">
        <x:v>2.0</x:v>
      </x:c>
      <x:c r="B36" s="19" t="s">
        <x:v>90</x:v>
      </x:c>
      <x:c r="C36" s="19">
        <x:v>2.0</x:v>
      </x:c>
      <x:c r="D36" s="19">
        <x:v>27.0</x:v>
      </x:c>
      <x:c r="E36" s="19" t="str">
        <x:f>IFERROR(IF(VLOOKUP(D36,Giocatori!$A$4:$C$48,2,FALSE)&lt;&gt;"",VLOOKUP(D36,Giocatori!$A$4:$C$48,2,FALSE),"Giocatore "&amp;D36),"Giocatore "&amp;D36)</x:f>
        <x:v>Tufano Michele</x:v>
      </x:c>
      <x:c r="H36" s="19">
        <x:v>0.0</x:v>
      </x:c>
      <x:c r="I36" s="19" t="str">
        <x:f t="shared" si="1"/>
      </x:c>
    </x:row>
    <x:row r="37" ht="15.75" customHeight="1">
      <x:c r="A37" s="19">
        <x:v>2.0</x:v>
      </x:c>
      <x:c r="B37" s="19" t="s">
        <x:v>90</x:v>
      </x:c>
      <x:c r="C37" s="19">
        <x:v>3.0</x:v>
      </x:c>
      <x:c r="D37" s="19">
        <x:v>23.0</x:v>
      </x:c>
      <x:c r="E37" s="19" t="str">
        <x:f>IFERROR(IF(VLOOKUP(D37,Giocatori!$A$4:$C$48,2,FALSE)&lt;&gt;"",VLOOKUP(D37,Giocatori!$A$4:$C$48,2,FALSE),"Giocatore "&amp;D37),"Giocatore "&amp;D37)</x:f>
        <x:v>Amato Alessandro</x:v>
      </x:c>
      <x:c r="H37" s="19">
        <x:v>0.0</x:v>
      </x:c>
      <x:c r="I37" s="19" t="str">
        <x:f t="shared" si="1"/>
      </x:c>
    </x:row>
    <x:row r="38" ht="15.75" customHeight="1">
      <x:c r="A38" s="19">
        <x:v>2.0</x:v>
      </x:c>
      <x:c r="B38" s="19" t="s">
        <x:v>90</x:v>
      </x:c>
      <x:c r="C38" s="19">
        <x:v>4.0</x:v>
      </x:c>
      <x:c r="D38" s="19">
        <x:v>19.0</x:v>
      </x:c>
      <x:c r="E38" s="19" t="str">
        <x:f>IFERROR(IF(VLOOKUP(D38,Giocatori!$A$4:$C$48,2,FALSE)&lt;&gt;"",VLOOKUP(D38,Giocatori!$A$4:$C$48,2,FALSE),"Giocatore "&amp;D38),"Giocatore "&amp;D38)</x:f>
        <x:v>Fuschillo Franco</x:v>
      </x:c>
      <x:c r="H38" s="19">
        <x:v>0.0</x:v>
      </x:c>
      <x:c r="I38" s="19" t="str">
        <x:f t="shared" si="1"/>
      </x:c>
    </x:row>
    <x:row r="39" ht="15.75" customHeight="1">
      <x:c r="A39" s="19">
        <x:v>2.0</x:v>
      </x:c>
      <x:c r="B39" s="19" t="s">
        <x:v>90</x:v>
      </x:c>
      <x:c r="C39" s="19">
        <x:v>5.0</x:v>
      </x:c>
      <x:c r="D39" s="19">
        <x:v>15.0</x:v>
      </x:c>
      <x:c r="E39" s="19" t="str">
        <x:f>IFERROR(IF(VLOOKUP(D39,Giocatori!$A$4:$C$48,2,FALSE)&lt;&gt;"",VLOOKUP(D39,Giocatori!$A$4:$C$48,2,FALSE),"Giocatore "&amp;D39),"Giocatore "&amp;D39)</x:f>
        <x:v>Tufano Antonio</x:v>
      </x:c>
      <x:c r="H39" s="19">
        <x:v>0.0</x:v>
      </x:c>
      <x:c r="I39" s="19" t="str">
        <x:f t="shared" si="1"/>
      </x:c>
    </x:row>
    <x:row r="40" ht="15.75" customHeight="1">
      <x:c r="A40" s="19">
        <x:v>2.0</x:v>
      </x:c>
      <x:c r="B40" s="19" t="s">
        <x:v>91</x:v>
      </x:c>
      <x:c r="C40" s="19">
        <x:v>1.0</x:v>
      </x:c>
      <x:c r="D40" s="19">
        <x:v>6.0</x:v>
      </x:c>
      <x:c r="E40" s="19" t="str">
        <x:f>IFERROR(IF(VLOOKUP(D40,Giocatori!$A$4:$C$48,2,FALSE)&lt;&gt;"",VLOOKUP(D40,Giocatori!$A$4:$C$48,2,FALSE),"Giocatore "&amp;D40),"Giocatore "&amp;D40)</x:f>
        <x:v>Sommese Antonio</x:v>
      </x:c>
      <x:c r="H40" s="19">
        <x:v>0.0</x:v>
      </x:c>
      <x:c r="I40" s="19" t="str">
        <x:f t="shared" si="1"/>
      </x:c>
    </x:row>
    <x:row r="41" ht="15.75" customHeight="1">
      <x:c r="A41" s="19">
        <x:v>2.0</x:v>
      </x:c>
      <x:c r="B41" s="19" t="s">
        <x:v>91</x:v>
      </x:c>
      <x:c r="C41" s="19">
        <x:v>2.0</x:v>
      </x:c>
      <x:c r="D41" s="19">
        <x:v>2.0</x:v>
      </x:c>
      <x:c r="E41" s="19" t="str">
        <x:f>IFERROR(IF(VLOOKUP(D41,Giocatori!$A$4:$C$48,2,FALSE)&lt;&gt;"",VLOOKUP(D41,Giocatori!$A$4:$C$48,2,FALSE),"Giocatore "&amp;D41),"Giocatore "&amp;D41)</x:f>
        <x:v>Nicola Mauro</x:v>
      </x:c>
      <x:c r="H41" s="19">
        <x:v>0.0</x:v>
      </x:c>
      <x:c r="I41" s="19" t="str">
        <x:f t="shared" si="1"/>
      </x:c>
    </x:row>
    <x:row r="42" ht="15.75" customHeight="1">
      <x:c r="A42" s="19">
        <x:v>2.0</x:v>
      </x:c>
      <x:c r="B42" s="19" t="s">
        <x:v>91</x:v>
      </x:c>
      <x:c r="C42" s="19">
        <x:v>3.0</x:v>
      </x:c>
      <x:c r="D42" s="19">
        <x:v>28.0</x:v>
      </x:c>
      <x:c r="E42" s="19" t="str">
        <x:f>IFERROR(IF(VLOOKUP(D42,Giocatori!$A$4:$C$48,2,FALSE)&lt;&gt;"",VLOOKUP(D42,Giocatori!$A$4:$C$48,2,FALSE),"Giocatore "&amp;D42),"Giocatore "&amp;D42)</x:f>
        <x:v>Ambrosino Raffaele</x:v>
      </x:c>
      <x:c r="H42" s="19">
        <x:v>0.0</x:v>
      </x:c>
      <x:c r="I42" s="19" t="str">
        <x:f t="shared" si="1"/>
      </x:c>
    </x:row>
    <x:row r="43" ht="15.75" customHeight="1">
      <x:c r="A43" s="19">
        <x:v>2.0</x:v>
      </x:c>
      <x:c r="B43" s="19" t="s">
        <x:v>91</x:v>
      </x:c>
      <x:c r="C43" s="19">
        <x:v>4.0</x:v>
      </x:c>
      <x:c r="D43" s="19">
        <x:v>24.0</x:v>
      </x:c>
      <x:c r="E43" s="19" t="str">
        <x:f>IFERROR(IF(VLOOKUP(D43,Giocatori!$A$4:$C$48,2,FALSE)&lt;&gt;"",VLOOKUP(D43,Giocatori!$A$4:$C$48,2,FALSE),"Giocatore "&amp;D43),"Giocatore "&amp;D43)</x:f>
        <x:v>Napolitano Pasquale</x:v>
      </x:c>
      <x:c r="H43" s="19">
        <x:v>0.0</x:v>
      </x:c>
      <x:c r="I43" s="19" t="str">
        <x:f t="shared" si="1"/>
      </x:c>
    </x:row>
    <x:row r="44" ht="15.75" customHeight="1">
      <x:c r="A44" s="19">
        <x:v>2.0</x:v>
      </x:c>
      <x:c r="B44" s="19" t="s">
        <x:v>91</x:v>
      </x:c>
      <x:c r="C44" s="19">
        <x:v>5.0</x:v>
      </x:c>
      <x:c r="D44" s="19">
        <x:v>20.0</x:v>
      </x:c>
      <x:c r="E44" s="19" t="str">
        <x:f>IFERROR(IF(VLOOKUP(D44,Giocatori!$A$4:$C$48,2,FALSE)&lt;&gt;"",VLOOKUP(D44,Giocatori!$A$4:$C$48,2,FALSE),"Giocatore "&amp;D44),"Giocatore "&amp;D44)</x:f>
        <x:v>Di Grazia Salvatore</x:v>
      </x:c>
      <x:c r="H44" s="19">
        <x:v>0.0</x:v>
      </x:c>
      <x:c r="I44" s="19" t="str">
        <x:f t="shared" si="1"/>
      </x:c>
    </x:row>
    <x:row r="45" ht="15.75" customHeight="1">
      <x:c r="A45" s="19">
        <x:v>2.0</x:v>
      </x:c>
      <x:c r="B45" s="19" t="s">
        <x:v>92</x:v>
      </x:c>
      <x:c r="C45" s="19">
        <x:v>1.0</x:v>
      </x:c>
      <x:c r="D45" s="19">
        <x:v>11.0</x:v>
      </x:c>
      <x:c r="E45" s="19" t="str">
        <x:f>IFERROR(IF(VLOOKUP(D45,Giocatori!$A$4:$C$48,2,FALSE)&lt;&gt;"",VLOOKUP(D45,Giocatori!$A$4:$C$48,2,FALSE),"Giocatore "&amp;D45),"Giocatore "&amp;D45)</x:f>
        <x:v>Moccia Biagio</x:v>
      </x:c>
      <x:c r="H45" s="19">
        <x:v>0.0</x:v>
      </x:c>
      <x:c r="I45" s="19" t="str">
        <x:f t="shared" si="1"/>
      </x:c>
    </x:row>
    <x:row r="46" ht="15.75" customHeight="1">
      <x:c r="A46" s="19">
        <x:v>2.0</x:v>
      </x:c>
      <x:c r="B46" s="19" t="s">
        <x:v>92</x:v>
      </x:c>
      <x:c r="C46" s="19">
        <x:v>2.0</x:v>
      </x:c>
      <x:c r="D46" s="19">
        <x:v>7.0</x:v>
      </x:c>
      <x:c r="E46" s="19" t="str">
        <x:f>IFERROR(IF(VLOOKUP(D46,Giocatori!$A$4:$C$48,2,FALSE)&lt;&gt;"",VLOOKUP(D46,Giocatori!$A$4:$C$48,2,FALSE),"Giocatore "&amp;D46),"Giocatore "&amp;D46)</x:f>
        <x:v>Notaro massimo</x:v>
      </x:c>
      <x:c r="H46" s="19">
        <x:v>0.0</x:v>
      </x:c>
      <x:c r="I46" s="19" t="str">
        <x:f t="shared" si="1"/>
      </x:c>
    </x:row>
    <x:row r="47" ht="15.75" customHeight="1">
      <x:c r="A47" s="19">
        <x:v>2.0</x:v>
      </x:c>
      <x:c r="B47" s="19" t="s">
        <x:v>92</x:v>
      </x:c>
      <x:c r="C47" s="19">
        <x:v>3.0</x:v>
      </x:c>
      <x:c r="D47" s="19">
        <x:v>3.0</x:v>
      </x:c>
      <x:c r="E47" s="19" t="str">
        <x:f>IFERROR(IF(VLOOKUP(D47,Giocatori!$A$4:$C$48,2,FALSE)&lt;&gt;"",VLOOKUP(D47,Giocatori!$A$4:$C$48,2,FALSE),"Giocatore "&amp;D47),"Giocatore "&amp;D47)</x:f>
        <x:v>Beracci Lucio</x:v>
      </x:c>
      <x:c r="H47" s="19">
        <x:v>0.0</x:v>
      </x:c>
      <x:c r="I47" s="19" t="str">
        <x:f t="shared" si="1"/>
      </x:c>
    </x:row>
    <x:row r="48" ht="15.75" customHeight="1">
      <x:c r="A48" s="19">
        <x:v>2.0</x:v>
      </x:c>
      <x:c r="B48" s="19" t="s">
        <x:v>92</x:v>
      </x:c>
      <x:c r="C48" s="19">
        <x:v>4.0</x:v>
      </x:c>
      <x:c r="D48" s="19">
        <x:v>29.0</x:v>
      </x:c>
      <x:c r="E48" s="19" t="str">
        <x:f>IFERROR(IF(VLOOKUP(D48,Giocatori!$A$4:$C$48,2,FALSE)&lt;&gt;"",VLOOKUP(D48,Giocatori!$A$4:$C$48,2,FALSE),"Giocatore "&amp;D48),"Giocatore "&amp;D48)</x:f>
        <x:v>Tufano Giovanni</x:v>
      </x:c>
      <x:c r="H48" s="19">
        <x:v>0.0</x:v>
      </x:c>
      <x:c r="I48" s="19" t="str">
        <x:f t="shared" si="1"/>
      </x:c>
    </x:row>
    <x:row r="49" ht="15.75" customHeight="1">
      <x:c r="A49" s="19">
        <x:v>2.0</x:v>
      </x:c>
      <x:c r="B49" s="19" t="s">
        <x:v>92</x:v>
      </x:c>
      <x:c r="C49" s="19">
        <x:v>5.0</x:v>
      </x:c>
      <x:c r="D49" s="19">
        <x:v>25.0</x:v>
      </x:c>
      <x:c r="E49" s="19" t="str">
        <x:f>IFERROR(IF(VLOOKUP(D49,Giocatori!$A$4:$C$48,2,FALSE)&lt;&gt;"",VLOOKUP(D49,Giocatori!$A$4:$C$48,2,FALSE),"Giocatore "&amp;D49),"Giocatore "&amp;D49)</x:f>
        <x:v>Fontanella Giuseppe</x:v>
      </x:c>
      <x:c r="H49" s="19">
        <x:v>0.0</x:v>
      </x:c>
      <x:c r="I49" s="19" t="str">
        <x:f t="shared" si="1"/>
      </x:c>
    </x:row>
    <x:row r="50" ht="15.75" customHeight="1">
      <x:c r="A50" s="19">
        <x:v>2.0</x:v>
      </x:c>
      <x:c r="B50" s="19" t="s">
        <x:v>93</x:v>
      </x:c>
      <x:c r="C50" s="19">
        <x:v>1.0</x:v>
      </x:c>
      <x:c r="D50" s="19">
        <x:v>16.0</x:v>
      </x:c>
      <x:c r="E50" s="19" t="str">
        <x:f>IFERROR(IF(VLOOKUP(D50,Giocatori!$A$4:$C$48,2,FALSE)&lt;&gt;"",VLOOKUP(D50,Giocatori!$A$4:$C$48,2,FALSE),"Giocatore "&amp;D50),"Giocatore "&amp;D50)</x:f>
        <x:v>Iorio Raffaele</x:v>
      </x:c>
      <x:c r="H50" s="19">
        <x:v>0.0</x:v>
      </x:c>
      <x:c r="I50" s="19" t="str">
        <x:f t="shared" si="1"/>
      </x:c>
    </x:row>
    <x:row r="51" ht="15.75" customHeight="1">
      <x:c r="A51" s="19">
        <x:v>2.0</x:v>
      </x:c>
      <x:c r="B51" s="19" t="s">
        <x:v>93</x:v>
      </x:c>
      <x:c r="C51" s="19">
        <x:v>2.0</x:v>
      </x:c>
      <x:c r="D51" s="19">
        <x:v>12.0</x:v>
      </x:c>
      <x:c r="E51" s="19" t="str">
        <x:f>IFERROR(IF(VLOOKUP(D51,Giocatori!$A$4:$C$48,2,FALSE)&lt;&gt;"",VLOOKUP(D51,Giocatori!$A$4:$C$48,2,FALSE),"Giocatore "&amp;D51),"Giocatore "&amp;D51)</x:f>
        <x:v>De Falco Andrea</x:v>
      </x:c>
      <x:c r="H51" s="19">
        <x:v>0.0</x:v>
      </x:c>
      <x:c r="I51" s="19" t="str">
        <x:f t="shared" si="1"/>
      </x:c>
    </x:row>
    <x:row r="52" ht="15.75" customHeight="1">
      <x:c r="A52" s="19">
        <x:v>2.0</x:v>
      </x:c>
      <x:c r="B52" s="19" t="s">
        <x:v>93</x:v>
      </x:c>
      <x:c r="C52" s="19">
        <x:v>3.0</x:v>
      </x:c>
      <x:c r="D52" s="19">
        <x:v>8.0</x:v>
      </x:c>
      <x:c r="E52" s="19" t="str">
        <x:f>IFERROR(IF(VLOOKUP(D52,Giocatori!$A$4:$C$48,2,FALSE)&lt;&gt;"",VLOOKUP(D52,Giocatori!$A$4:$C$48,2,FALSE),"Giocatore "&amp;D52),"Giocatore "&amp;D52)</x:f>
        <x:v>Beracci Benedetto</x:v>
      </x:c>
      <x:c r="H52" s="19">
        <x:v>0.0</x:v>
      </x:c>
      <x:c r="I52" s="19" t="str">
        <x:f t="shared" si="1"/>
      </x:c>
    </x:row>
    <x:row r="53" ht="15.75" customHeight="1">
      <x:c r="A53" s="19">
        <x:v>2.0</x:v>
      </x:c>
      <x:c r="B53" s="19" t="s">
        <x:v>93</x:v>
      </x:c>
      <x:c r="C53" s="19">
        <x:v>4.0</x:v>
      </x:c>
      <x:c r="D53" s="19">
        <x:v>4.0</x:v>
      </x:c>
      <x:c r="E53" s="19" t="str">
        <x:f>IFERROR(IF(VLOOKUP(D53,Giocatori!$A$4:$C$48,2,FALSE)&lt;&gt;"",VLOOKUP(D53,Giocatori!$A$4:$C$48,2,FALSE),"Giocatore "&amp;D53),"Giocatore "&amp;D53)</x:f>
        <x:v>Annunziata Michele</x:v>
      </x:c>
      <x:c r="H53" s="19">
        <x:v>0.0</x:v>
      </x:c>
      <x:c r="I53" s="19" t="str">
        <x:f t="shared" si="1"/>
      </x:c>
    </x:row>
    <x:row r="54" ht="15.75" customHeight="1">
      <x:c r="A54" s="19">
        <x:v>2.0</x:v>
      </x:c>
      <x:c r="B54" s="19" t="s">
        <x:v>93</x:v>
      </x:c>
      <x:c r="C54" s="19">
        <x:v>5.0</x:v>
      </x:c>
      <x:c r="D54" s="19">
        <x:v>30.0</x:v>
      </x:c>
      <x:c r="E54" s="19" t="str">
        <x:f>IFERROR(IF(VLOOKUP(D54,Giocatori!$A$4:$C$48,2,FALSE)&lt;&gt;"",VLOOKUP(D54,Giocatori!$A$4:$C$48,2,FALSE),"Giocatore "&amp;D54),"Giocatore "&amp;D54)</x:f>
        <x:v>Mauro Raffaele</x:v>
      </x:c>
      <x:c r="H54" s="19">
        <x:v>0.0</x:v>
      </x:c>
      <x:c r="I54" s="19" t="str">
        <x:f t="shared" si="1"/>
      </x:c>
    </x:row>
    <x:row r="55" ht="15.75" customHeight="1">
      <x:c r="A55" s="19">
        <x:v>2.0</x:v>
      </x:c>
      <x:c r="B55" s="19" t="s">
        <x:v>94</x:v>
      </x:c>
      <x:c r="C55" s="19">
        <x:v>1.0</x:v>
      </x:c>
      <x:c r="D55" s="19">
        <x:v>21.0</x:v>
      </x:c>
      <x:c r="E55" s="19" t="str">
        <x:f>IFERROR(IF(VLOOKUP(D55,Giocatori!$A$4:$C$48,2,FALSE)&lt;&gt;"",VLOOKUP(D55,Giocatori!$A$4:$C$48,2,FALSE),"Giocatore "&amp;D55),"Giocatore "&amp;D55)</x:f>
        <x:v>Mauro Candice</x:v>
      </x:c>
      <x:c r="H55" s="19">
        <x:v>0.0</x:v>
      </x:c>
      <x:c r="I55" s="19" t="str">
        <x:f t="shared" si="1"/>
      </x:c>
    </x:row>
    <x:row r="56" ht="15.75" customHeight="1">
      <x:c r="A56" s="19">
        <x:v>2.0</x:v>
      </x:c>
      <x:c r="B56" s="19" t="s">
        <x:v>94</x:v>
      </x:c>
      <x:c r="C56" s="19">
        <x:v>2.0</x:v>
      </x:c>
      <x:c r="D56" s="19">
        <x:v>17.0</x:v>
      </x:c>
      <x:c r="E56" s="19" t="str">
        <x:f>IFERROR(IF(VLOOKUP(D56,Giocatori!$A$4:$C$48,2,FALSE)&lt;&gt;"",VLOOKUP(D56,Giocatori!$A$4:$C$48,2,FALSE),"Giocatore "&amp;D56),"Giocatore "&amp;D56)</x:f>
        <x:v>Scogliamiglio Alfredo</x:v>
      </x:c>
      <x:c r="H56" s="19">
        <x:v>0.0</x:v>
      </x:c>
      <x:c r="I56" s="19" t="str">
        <x:f t="shared" si="1"/>
      </x:c>
    </x:row>
    <x:row r="57" ht="15.75" customHeight="1">
      <x:c r="A57" s="19">
        <x:v>2.0</x:v>
      </x:c>
      <x:c r="B57" s="19" t="s">
        <x:v>94</x:v>
      </x:c>
      <x:c r="C57" s="19">
        <x:v>3.0</x:v>
      </x:c>
      <x:c r="D57" s="19">
        <x:v>13.0</x:v>
      </x:c>
      <x:c r="E57" s="19" t="str">
        <x:f>IFERROR(IF(VLOOKUP(D57,Giocatori!$A$4:$C$48,2,FALSE)&lt;&gt;"",VLOOKUP(D57,Giocatori!$A$4:$C$48,2,FALSE),"Giocatore "&amp;D57),"Giocatore "&amp;D57)</x:f>
        <x:v>Corbo Alessandro</x:v>
      </x:c>
      <x:c r="H57" s="19">
        <x:v>0.0</x:v>
      </x:c>
      <x:c r="I57" s="19" t="str">
        <x:f t="shared" si="1"/>
      </x:c>
    </x:row>
    <x:row r="58" ht="15.75" customHeight="1">
      <x:c r="A58" s="19">
        <x:v>2.0</x:v>
      </x:c>
      <x:c r="B58" s="19" t="s">
        <x:v>94</x:v>
      </x:c>
      <x:c r="C58" s="19">
        <x:v>4.0</x:v>
      </x:c>
      <x:c r="D58" s="19">
        <x:v>9.0</x:v>
      </x:c>
      <x:c r="E58" s="19" t="str">
        <x:f>IFERROR(IF(VLOOKUP(D58,Giocatori!$A$4:$C$48,2,FALSE)&lt;&gt;"",VLOOKUP(D58,Giocatori!$A$4:$C$48,2,FALSE),"Giocatore "&amp;D58),"Giocatore "&amp;D58)</x:f>
        <x:v>Atria Gregorio</x:v>
      </x:c>
      <x:c r="H58" s="19">
        <x:v>0.0</x:v>
      </x:c>
      <x:c r="I58" s="19" t="str">
        <x:f t="shared" si="1"/>
      </x:c>
    </x:row>
    <x:row r="59" ht="15.75" customHeight="1">
      <x:c r="A59" s="19">
        <x:v>2.0</x:v>
      </x:c>
      <x:c r="B59" s="19" t="s">
        <x:v>94</x:v>
      </x:c>
      <x:c r="C59" s="19">
        <x:v>5.0</x:v>
      </x:c>
      <x:c r="D59" s="19">
        <x:v>5.0</x:v>
      </x:c>
      <x:c r="E59" s="19" t="str">
        <x:f>IFERROR(IF(VLOOKUP(D59,Giocatori!$A$4:$C$48,2,FALSE)&lt;&gt;"",VLOOKUP(D59,Giocatori!$A$4:$C$48,2,FALSE),"Giocatore "&amp;D59),"Giocatore "&amp;D59)</x:f>
        <x:v>La Marca Carlo</x:v>
      </x:c>
      <x:c r="H59" s="19">
        <x:v>0.0</x:v>
      </x:c>
      <x:c r="I59" s="19" t="str">
        <x:f t="shared" si="1"/>
      </x:c>
    </x:row>
    <x:row r="60" ht="15.75" customHeight="1">
      <x:c r="A60" s="19">
        <x:v>2.0</x:v>
      </x:c>
      <x:c r="B60" s="19" t="s">
        <x:v>95</x:v>
      </x:c>
      <x:c r="C60" s="19">
        <x:v>1.0</x:v>
      </x:c>
      <x:c r="D60" s="19">
        <x:v>26.0</x:v>
      </x:c>
      <x:c r="E60" s="19" t="str">
        <x:f>IFERROR(IF(VLOOKUP(D60,Giocatori!$A$4:$C$48,2,FALSE)&lt;&gt;"",VLOOKUP(D60,Giocatori!$A$4:$C$48,2,FALSE),"Giocatore "&amp;D60),"Giocatore "&amp;D60)</x:f>
        <x:v>La Marca Franco</x:v>
      </x:c>
      <x:c r="H60" s="19">
        <x:v>0.0</x:v>
      </x:c>
      <x:c r="I60" s="19" t="str">
        <x:f t="shared" si="1"/>
      </x:c>
    </x:row>
    <x:row r="61" ht="15.75" customHeight="1">
      <x:c r="A61" s="19">
        <x:v>2.0</x:v>
      </x:c>
      <x:c r="B61" s="19" t="s">
        <x:v>95</x:v>
      </x:c>
      <x:c r="C61" s="19">
        <x:v>2.0</x:v>
      </x:c>
      <x:c r="D61" s="19">
        <x:v>22.0</x:v>
      </x:c>
      <x:c r="E61" s="19" t="str">
        <x:f>IFERROR(IF(VLOOKUP(D61,Giocatori!$A$4:$C$48,2,FALSE)&lt;&gt;"",VLOOKUP(D61,Giocatori!$A$4:$C$48,2,FALSE),"Giocatore "&amp;D61),"Giocatore "&amp;D61)</x:f>
        <x:v>Michele Zappone</x:v>
      </x:c>
      <x:c r="H61" s="19">
        <x:v>0.0</x:v>
      </x:c>
      <x:c r="I61" s="19" t="str">
        <x:f t="shared" si="1"/>
      </x:c>
    </x:row>
    <x:row r="62" ht="15.75" customHeight="1">
      <x:c r="A62" s="19">
        <x:v>2.0</x:v>
      </x:c>
      <x:c r="B62" s="19" t="s">
        <x:v>95</x:v>
      </x:c>
      <x:c r="C62" s="19">
        <x:v>3.0</x:v>
      </x:c>
      <x:c r="D62" s="19">
        <x:v>18.0</x:v>
      </x:c>
      <x:c r="E62" s="19" t="str">
        <x:f>IFERROR(IF(VLOOKUP(D62,Giocatori!$A$4:$C$48,2,FALSE)&lt;&gt;"",VLOOKUP(D62,Giocatori!$A$4:$C$48,2,FALSE),"Giocatore "&amp;D62),"Giocatore "&amp;D62)</x:f>
        <x:v>Cafarelli Manolo</x:v>
      </x:c>
      <x:c r="H62" s="19">
        <x:v>0.0</x:v>
      </x:c>
      <x:c r="I62" s="19" t="str">
        <x:f t="shared" si="1"/>
      </x:c>
    </x:row>
    <x:row r="63" ht="15.75" customHeight="1">
      <x:c r="A63" s="19">
        <x:v>2.0</x:v>
      </x:c>
      <x:c r="B63" s="19" t="s">
        <x:v>95</x:v>
      </x:c>
      <x:c r="C63" s="19">
        <x:v>4.0</x:v>
      </x:c>
      <x:c r="D63" s="19">
        <x:v>14.0</x:v>
      </x:c>
      <x:c r="E63" s="19" t="str">
        <x:f>IFERROR(IF(VLOOKUP(D63,Giocatori!$A$4:$C$48,2,FALSE)&lt;&gt;"",VLOOKUP(D63,Giocatori!$A$4:$C$48,2,FALSE),"Giocatore "&amp;D63),"Giocatore "&amp;D63)</x:f>
        <x:v>Botta Francesco</x:v>
      </x:c>
      <x:c r="H63" s="19">
        <x:v>0.0</x:v>
      </x:c>
      <x:c r="I63" s="19" t="str">
        <x:f t="shared" si="1"/>
      </x:c>
    </x:row>
    <x:row r="64" ht="15.75" customHeight="1">
      <x:c r="A64" s="19">
        <x:v>2.0</x:v>
      </x:c>
      <x:c r="B64" s="19" t="s">
        <x:v>95</x:v>
      </x:c>
      <x:c r="C64" s="19">
        <x:v>5.0</x:v>
      </x:c>
      <x:c r="D64" s="19">
        <x:v>10.0</x:v>
      </x:c>
      <x:c r="E64" s="19" t="str">
        <x:f>IFERROR(IF(VLOOKUP(D64,Giocatori!$A$4:$C$48,2,FALSE)&lt;&gt;"",VLOOKUP(D64,Giocatori!$A$4:$C$48,2,FALSE),"Giocatore "&amp;D64),"Giocatore "&amp;D64)</x:f>
        <x:v>Caliendo Nunzio</x:v>
      </x:c>
      <x:c r="H64" s="19">
        <x:v>0.0</x:v>
      </x:c>
      <x:c r="I64" s="19" t="str">
        <x:f t="shared" si="1"/>
      </x:c>
    </x:row>
    <x:row r="65" ht="15.75" customHeight="1">
      <x:c r="A65" s="19">
        <x:v>3.0</x:v>
      </x:c>
      <x:c r="B65" s="19" t="s">
        <x:v>90</x:v>
      </x:c>
      <x:c r="C65" s="19">
        <x:v>1.0</x:v>
      </x:c>
      <x:c r="D65" s="19">
        <x:v>1.0</x:v>
      </x:c>
      <x:c r="E65" s="19" t="str">
        <x:f>IFERROR(IF(VLOOKUP(D65,Giocatori!$A$4:$C$48,2,FALSE)&lt;&gt;"",VLOOKUP(D65,Giocatori!$A$4:$C$48,2,FALSE),"Giocatore "&amp;D65),"Giocatore "&amp;D65)</x:f>
        <x:v>Zio Raffaele</x:v>
      </x:c>
      <x:c r="H65" s="19">
        <x:v>0.0</x:v>
      </x:c>
      <x:c r="I65" s="19" t="str">
        <x:f t="shared" si="1"/>
      </x:c>
    </x:row>
    <x:row r="66" ht="15.75" customHeight="1">
      <x:c r="A66" s="19">
        <x:v>3.0</x:v>
      </x:c>
      <x:c r="B66" s="19" t="s">
        <x:v>90</x:v>
      </x:c>
      <x:c r="C66" s="19">
        <x:v>2.0</x:v>
      </x:c>
      <x:c r="D66" s="19">
        <x:v>7.0</x:v>
      </x:c>
      <x:c r="E66" s="19" t="str">
        <x:f>IFERROR(IF(VLOOKUP(D66,Giocatori!$A$4:$C$48,2,FALSE)&lt;&gt;"",VLOOKUP(D66,Giocatori!$A$4:$C$48,2,FALSE),"Giocatore "&amp;D66),"Giocatore "&amp;D66)</x:f>
        <x:v>Notaro massimo</x:v>
      </x:c>
      <x:c r="H66" s="19">
        <x:v>0.0</x:v>
      </x:c>
      <x:c r="I66" s="19" t="str">
        <x:f t="shared" si="1"/>
      </x:c>
    </x:row>
    <x:row r="67" ht="15.75" customHeight="1">
      <x:c r="A67" s="19">
        <x:v>3.0</x:v>
      </x:c>
      <x:c r="B67" s="19" t="s">
        <x:v>90</x:v>
      </x:c>
      <x:c r="C67" s="19">
        <x:v>3.0</x:v>
      </x:c>
      <x:c r="D67" s="19">
        <x:v>13.0</x:v>
      </x:c>
      <x:c r="E67" s="19" t="str">
        <x:f>IFERROR(IF(VLOOKUP(D67,Giocatori!$A$4:$C$48,2,FALSE)&lt;&gt;"",VLOOKUP(D67,Giocatori!$A$4:$C$48,2,FALSE),"Giocatore "&amp;D67),"Giocatore "&amp;D67)</x:f>
        <x:v>Corbo Alessandro</x:v>
      </x:c>
      <x:c r="H67" s="19">
        <x:v>0.0</x:v>
      </x:c>
      <x:c r="I67" s="19" t="str">
        <x:f t="shared" si="1"/>
      </x:c>
    </x:row>
    <x:row r="68" ht="15.75" customHeight="1">
      <x:c r="A68" s="19">
        <x:v>3.0</x:v>
      </x:c>
      <x:c r="B68" s="19" t="s">
        <x:v>90</x:v>
      </x:c>
      <x:c r="C68" s="19">
        <x:v>4.0</x:v>
      </x:c>
      <x:c r="D68" s="19">
        <x:v>24.0</x:v>
      </x:c>
      <x:c r="E68" s="19" t="str">
        <x:f>IFERROR(IF(VLOOKUP(D68,Giocatori!$A$4:$C$48,2,FALSE)&lt;&gt;"",VLOOKUP(D68,Giocatori!$A$4:$C$48,2,FALSE),"Giocatore "&amp;D68),"Giocatore "&amp;D68)</x:f>
        <x:v>Napolitano Pasquale</x:v>
      </x:c>
      <x:c r="H68" s="19">
        <x:v>0.0</x:v>
      </x:c>
      <x:c r="I68" s="19" t="str">
        <x:f t="shared" si="1"/>
      </x:c>
    </x:row>
    <x:row r="69" ht="15.75" customHeight="1">
      <x:c r="A69" s="19">
        <x:v>3.0</x:v>
      </x:c>
      <x:c r="B69" s="19" t="s">
        <x:v>90</x:v>
      </x:c>
      <x:c r="C69" s="19">
        <x:v>5.0</x:v>
      </x:c>
      <x:c r="D69" s="19">
        <x:v>30.0</x:v>
      </x:c>
      <x:c r="E69" s="19" t="str">
        <x:f>IFERROR(IF(VLOOKUP(D69,Giocatori!$A$4:$C$48,2,FALSE)&lt;&gt;"",VLOOKUP(D69,Giocatori!$A$4:$C$48,2,FALSE),"Giocatore "&amp;D69),"Giocatore "&amp;D69)</x:f>
        <x:v>Mauro Raffaele</x:v>
      </x:c>
      <x:c r="H69" s="19">
        <x:v>0.0</x:v>
      </x:c>
      <x:c r="I69" s="19" t="str">
        <x:f t="shared" si="1"/>
      </x:c>
    </x:row>
    <x:row r="70" ht="15.75" customHeight="1">
      <x:c r="A70" s="19">
        <x:v>3.0</x:v>
      </x:c>
      <x:c r="B70" s="19" t="s">
        <x:v>91</x:v>
      </x:c>
      <x:c r="C70" s="19">
        <x:v>1.0</x:v>
      </x:c>
      <x:c r="D70" s="19">
        <x:v>6.0</x:v>
      </x:c>
      <x:c r="E70" s="19" t="str">
        <x:f>IFERROR(IF(VLOOKUP(D70,Giocatori!$A$4:$C$48,2,FALSE)&lt;&gt;"",VLOOKUP(D70,Giocatori!$A$4:$C$48,2,FALSE),"Giocatore "&amp;D70),"Giocatore "&amp;D70)</x:f>
        <x:v>Sommese Antonio</x:v>
      </x:c>
      <x:c r="H70" s="19">
        <x:v>0.0</x:v>
      </x:c>
      <x:c r="I70" s="19" t="str">
        <x:f t="shared" si="1"/>
      </x:c>
    </x:row>
    <x:row r="71" ht="15.75" customHeight="1">
      <x:c r="A71" s="19">
        <x:v>3.0</x:v>
      </x:c>
      <x:c r="B71" s="19" t="s">
        <x:v>91</x:v>
      </x:c>
      <x:c r="C71" s="19">
        <x:v>2.0</x:v>
      </x:c>
      <x:c r="D71" s="19">
        <x:v>12.0</x:v>
      </x:c>
      <x:c r="E71" s="19" t="str">
        <x:f>IFERROR(IF(VLOOKUP(D71,Giocatori!$A$4:$C$48,2,FALSE)&lt;&gt;"",VLOOKUP(D71,Giocatori!$A$4:$C$48,2,FALSE),"Giocatore "&amp;D71),"Giocatore "&amp;D71)</x:f>
        <x:v>De Falco Andrea</x:v>
      </x:c>
      <x:c r="H71" s="19">
        <x:v>0.0</x:v>
      </x:c>
      <x:c r="I71" s="19" t="str">
        <x:f t="shared" si="1"/>
      </x:c>
    </x:row>
    <x:row r="72" ht="15.75" customHeight="1">
      <x:c r="A72" s="19">
        <x:v>3.0</x:v>
      </x:c>
      <x:c r="B72" s="19" t="s">
        <x:v>91</x:v>
      </x:c>
      <x:c r="C72" s="19">
        <x:v>3.0</x:v>
      </x:c>
      <x:c r="D72" s="19">
        <x:v>18.0</x:v>
      </x:c>
      <x:c r="E72" s="19" t="str">
        <x:f>IFERROR(IF(VLOOKUP(D72,Giocatori!$A$4:$C$48,2,FALSE)&lt;&gt;"",VLOOKUP(D72,Giocatori!$A$4:$C$48,2,FALSE),"Giocatore "&amp;D72),"Giocatore "&amp;D72)</x:f>
        <x:v>Cafarelli Manolo</x:v>
      </x:c>
      <x:c r="H72" s="19">
        <x:v>0.0</x:v>
      </x:c>
      <x:c r="I72" s="19" t="str">
        <x:f t="shared" si="1"/>
      </x:c>
    </x:row>
    <x:row r="73" ht="15.75" customHeight="1">
      <x:c r="A73" s="19">
        <x:v>3.0</x:v>
      </x:c>
      <x:c r="B73" s="19" t="s">
        <x:v>91</x:v>
      </x:c>
      <x:c r="C73" s="19">
        <x:v>4.0</x:v>
      </x:c>
      <x:c r="D73" s="19">
        <x:v>29.0</x:v>
      </x:c>
      <x:c r="E73" s="19" t="str">
        <x:f>IFERROR(IF(VLOOKUP(D73,Giocatori!$A$4:$C$48,2,FALSE)&lt;&gt;"",VLOOKUP(D73,Giocatori!$A$4:$C$48,2,FALSE),"Giocatore "&amp;D73),"Giocatore "&amp;D73)</x:f>
        <x:v>Tufano Giovanni</x:v>
      </x:c>
      <x:c r="H73" s="19">
        <x:v>0.0</x:v>
      </x:c>
      <x:c r="I73" s="19" t="str">
        <x:f t="shared" si="1"/>
      </x:c>
    </x:row>
    <x:row r="74" ht="15.75" customHeight="1">
      <x:c r="A74" s="19">
        <x:v>3.0</x:v>
      </x:c>
      <x:c r="B74" s="19" t="s">
        <x:v>91</x:v>
      </x:c>
      <x:c r="C74" s="19">
        <x:v>5.0</x:v>
      </x:c>
      <x:c r="D74" s="19">
        <x:v>5.0</x:v>
      </x:c>
      <x:c r="E74" s="19" t="str">
        <x:f>IFERROR(IF(VLOOKUP(D74,Giocatori!$A$4:$C$48,2,FALSE)&lt;&gt;"",VLOOKUP(D74,Giocatori!$A$4:$C$48,2,FALSE),"Giocatore "&amp;D74),"Giocatore "&amp;D74)</x:f>
        <x:v>La Marca Carlo</x:v>
      </x:c>
      <x:c r="H74" s="19">
        <x:v>0.0</x:v>
      </x:c>
      <x:c r="I74" s="19" t="str">
        <x:f t="shared" si="1"/>
      </x:c>
    </x:row>
    <x:row r="75" ht="15.75" customHeight="1">
      <x:c r="A75" s="19">
        <x:v>3.0</x:v>
      </x:c>
      <x:c r="B75" s="19" t="s">
        <x:v>92</x:v>
      </x:c>
      <x:c r="C75" s="19">
        <x:v>1.0</x:v>
      </x:c>
      <x:c r="D75" s="19">
        <x:v>11.0</x:v>
      </x:c>
      <x:c r="E75" s="19" t="str">
        <x:f>IFERROR(IF(VLOOKUP(D75,Giocatori!$A$4:$C$48,2,FALSE)&lt;&gt;"",VLOOKUP(D75,Giocatori!$A$4:$C$48,2,FALSE),"Giocatore "&amp;D75),"Giocatore "&amp;D75)</x:f>
        <x:v>Moccia Biagio</x:v>
      </x:c>
      <x:c r="H75" s="19">
        <x:v>0.0</x:v>
      </x:c>
      <x:c r="I75" s="19" t="str">
        <x:f t="shared" si="1"/>
      </x:c>
    </x:row>
    <x:row r="76" ht="15.75" customHeight="1">
      <x:c r="A76" s="19">
        <x:v>3.0</x:v>
      </x:c>
      <x:c r="B76" s="19" t="s">
        <x:v>92</x:v>
      </x:c>
      <x:c r="C76" s="19">
        <x:v>2.0</x:v>
      </x:c>
      <x:c r="D76" s="19">
        <x:v>17.0</x:v>
      </x:c>
      <x:c r="E76" s="19" t="str">
        <x:f>IFERROR(IF(VLOOKUP(D76,Giocatori!$A$4:$C$48,2,FALSE)&lt;&gt;"",VLOOKUP(D76,Giocatori!$A$4:$C$48,2,FALSE),"Giocatore "&amp;D76),"Giocatore "&amp;D76)</x:f>
        <x:v>Scogliamiglio Alfredo</x:v>
      </x:c>
      <x:c r="H76" s="19">
        <x:v>0.0</x:v>
      </x:c>
      <x:c r="I76" s="19" t="str">
        <x:f t="shared" si="1"/>
      </x:c>
    </x:row>
    <x:row r="77" ht="15.75" customHeight="1">
      <x:c r="A77" s="19">
        <x:v>3.0</x:v>
      </x:c>
      <x:c r="B77" s="19" t="s">
        <x:v>92</x:v>
      </x:c>
      <x:c r="C77" s="19">
        <x:v>3.0</x:v>
      </x:c>
      <x:c r="D77" s="19">
        <x:v>23.0</x:v>
      </x:c>
      <x:c r="E77" s="19" t="str">
        <x:f>IFERROR(IF(VLOOKUP(D77,Giocatori!$A$4:$C$48,2,FALSE)&lt;&gt;"",VLOOKUP(D77,Giocatori!$A$4:$C$48,2,FALSE),"Giocatore "&amp;D77),"Giocatore "&amp;D77)</x:f>
        <x:v>Amato Alessandro</x:v>
      </x:c>
      <x:c r="H77" s="19">
        <x:v>0.0</x:v>
      </x:c>
      <x:c r="I77" s="19" t="str">
        <x:f t="shared" si="1"/>
      </x:c>
    </x:row>
    <x:row r="78" ht="15.75" customHeight="1">
      <x:c r="A78" s="19">
        <x:v>3.0</x:v>
      </x:c>
      <x:c r="B78" s="19" t="s">
        <x:v>92</x:v>
      </x:c>
      <x:c r="C78" s="19">
        <x:v>4.0</x:v>
      </x:c>
      <x:c r="D78" s="19">
        <x:v>4.0</x:v>
      </x:c>
      <x:c r="E78" s="19" t="str">
        <x:f>IFERROR(IF(VLOOKUP(D78,Giocatori!$A$4:$C$48,2,FALSE)&lt;&gt;"",VLOOKUP(D78,Giocatori!$A$4:$C$48,2,FALSE),"Giocatore "&amp;D78),"Giocatore "&amp;D78)</x:f>
        <x:v>Annunziata Michele</x:v>
      </x:c>
      <x:c r="H78" s="19">
        <x:v>0.0</x:v>
      </x:c>
      <x:c r="I78" s="19" t="str">
        <x:f t="shared" si="1"/>
      </x:c>
    </x:row>
    <x:row r="79" ht="15.75" customHeight="1">
      <x:c r="A79" s="19">
        <x:v>3.0</x:v>
      </x:c>
      <x:c r="B79" s="19" t="s">
        <x:v>92</x:v>
      </x:c>
      <x:c r="C79" s="19">
        <x:v>5.0</x:v>
      </x:c>
      <x:c r="D79" s="19">
        <x:v>10.0</x:v>
      </x:c>
      <x:c r="E79" s="19" t="str">
        <x:f>IFERROR(IF(VLOOKUP(D79,Giocatori!$A$4:$C$48,2,FALSE)&lt;&gt;"",VLOOKUP(D79,Giocatori!$A$4:$C$48,2,FALSE),"Giocatore "&amp;D79),"Giocatore "&amp;D79)</x:f>
        <x:v>Caliendo Nunzio</x:v>
      </x:c>
      <x:c r="H79" s="19">
        <x:v>0.0</x:v>
      </x:c>
      <x:c r="I79" s="19" t="str">
        <x:f t="shared" si="1"/>
      </x:c>
    </x:row>
    <x:row r="80" ht="15.75" customHeight="1">
      <x:c r="A80" s="19">
        <x:v>3.0</x:v>
      </x:c>
      <x:c r="B80" s="19" t="s">
        <x:v>93</x:v>
      </x:c>
      <x:c r="C80" s="19">
        <x:v>1.0</x:v>
      </x:c>
      <x:c r="D80" s="19">
        <x:v>16.0</x:v>
      </x:c>
      <x:c r="E80" s="19" t="str">
        <x:f>IFERROR(IF(VLOOKUP(D80,Giocatori!$A$4:$C$48,2,FALSE)&lt;&gt;"",VLOOKUP(D80,Giocatori!$A$4:$C$48,2,FALSE),"Giocatore "&amp;D80),"Giocatore "&amp;D80)</x:f>
        <x:v>Iorio Raffaele</x:v>
      </x:c>
      <x:c r="H80" s="19">
        <x:v>0.0</x:v>
      </x:c>
      <x:c r="I80" s="19" t="str">
        <x:f t="shared" si="1"/>
      </x:c>
    </x:row>
    <x:row r="81" ht="15.75" customHeight="1">
      <x:c r="A81" s="19">
        <x:v>3.0</x:v>
      </x:c>
      <x:c r="B81" s="19" t="s">
        <x:v>93</x:v>
      </x:c>
      <x:c r="C81" s="19">
        <x:v>2.0</x:v>
      </x:c>
      <x:c r="D81" s="19">
        <x:v>22.0</x:v>
      </x:c>
      <x:c r="E81" s="19" t="str">
        <x:f>IFERROR(IF(VLOOKUP(D81,Giocatori!$A$4:$C$48,2,FALSE)&lt;&gt;"",VLOOKUP(D81,Giocatori!$A$4:$C$48,2,FALSE),"Giocatore "&amp;D81),"Giocatore "&amp;D81)</x:f>
        <x:v>Michele Zappone</x:v>
      </x:c>
      <x:c r="H81" s="19">
        <x:v>0.0</x:v>
      </x:c>
      <x:c r="I81" s="19" t="str">
        <x:f t="shared" si="1"/>
      </x:c>
    </x:row>
    <x:row r="82" ht="15.75" customHeight="1">
      <x:c r="A82" s="19">
        <x:v>3.0</x:v>
      </x:c>
      <x:c r="B82" s="19" t="s">
        <x:v>93</x:v>
      </x:c>
      <x:c r="C82" s="19">
        <x:v>3.0</x:v>
      </x:c>
      <x:c r="D82" s="19">
        <x:v>28.0</x:v>
      </x:c>
      <x:c r="E82" s="19" t="str">
        <x:f>IFERROR(IF(VLOOKUP(D82,Giocatori!$A$4:$C$48,2,FALSE)&lt;&gt;"",VLOOKUP(D82,Giocatori!$A$4:$C$48,2,FALSE),"Giocatore "&amp;D82),"Giocatore "&amp;D82)</x:f>
        <x:v>Ambrosino Raffaele</x:v>
      </x:c>
      <x:c r="H82" s="19">
        <x:v>0.0</x:v>
      </x:c>
      <x:c r="I82" s="19" t="str">
        <x:f t="shared" si="1"/>
      </x:c>
    </x:row>
    <x:row r="83" ht="15.75" customHeight="1">
      <x:c r="A83" s="19">
        <x:v>3.0</x:v>
      </x:c>
      <x:c r="B83" s="19" t="s">
        <x:v>93</x:v>
      </x:c>
      <x:c r="C83" s="19">
        <x:v>4.0</x:v>
      </x:c>
      <x:c r="D83" s="19">
        <x:v>9.0</x:v>
      </x:c>
      <x:c r="E83" s="19" t="str">
        <x:f>IFERROR(IF(VLOOKUP(D83,Giocatori!$A$4:$C$48,2,FALSE)&lt;&gt;"",VLOOKUP(D83,Giocatori!$A$4:$C$48,2,FALSE),"Giocatore "&amp;D83),"Giocatore "&amp;D83)</x:f>
        <x:v>Atria Gregorio</x:v>
      </x:c>
      <x:c r="H83" s="19">
        <x:v>0.0</x:v>
      </x:c>
      <x:c r="I83" s="19" t="str">
        <x:f t="shared" si="1"/>
      </x:c>
    </x:row>
    <x:row r="84" ht="15.75" customHeight="1">
      <x:c r="A84" s="19">
        <x:v>3.0</x:v>
      </x:c>
      <x:c r="B84" s="19" t="s">
        <x:v>93</x:v>
      </x:c>
      <x:c r="C84" s="19">
        <x:v>5.0</x:v>
      </x:c>
      <x:c r="D84" s="19">
        <x:v>15.0</x:v>
      </x:c>
      <x:c r="E84" s="19" t="str">
        <x:f>IFERROR(IF(VLOOKUP(D84,Giocatori!$A$4:$C$48,2,FALSE)&lt;&gt;"",VLOOKUP(D84,Giocatori!$A$4:$C$48,2,FALSE),"Giocatore "&amp;D84),"Giocatore "&amp;D84)</x:f>
        <x:v>Tufano Antonio</x:v>
      </x:c>
      <x:c r="H84" s="19">
        <x:v>0.0</x:v>
      </x:c>
      <x:c r="I84" s="19" t="str">
        <x:f t="shared" si="1"/>
      </x:c>
    </x:row>
    <x:row r="85" ht="15.75" customHeight="1">
      <x:c r="A85" s="19">
        <x:v>3.0</x:v>
      </x:c>
      <x:c r="B85" s="19" t="s">
        <x:v>94</x:v>
      </x:c>
      <x:c r="C85" s="19">
        <x:v>1.0</x:v>
      </x:c>
      <x:c r="D85" s="19">
        <x:v>21.0</x:v>
      </x:c>
      <x:c r="E85" s="19" t="str">
        <x:f>IFERROR(IF(VLOOKUP(D85,Giocatori!$A$4:$C$48,2,FALSE)&lt;&gt;"",VLOOKUP(D85,Giocatori!$A$4:$C$48,2,FALSE),"Giocatore "&amp;D85),"Giocatore "&amp;D85)</x:f>
        <x:v>Mauro Candice</x:v>
      </x:c>
      <x:c r="H85" s="19">
        <x:v>0.0</x:v>
      </x:c>
      <x:c r="I85" s="19" t="str">
        <x:f t="shared" si="1"/>
      </x:c>
    </x:row>
    <x:row r="86" ht="15.75" customHeight="1">
      <x:c r="A86" s="19">
        <x:v>3.0</x:v>
      </x:c>
      <x:c r="B86" s="19" t="s">
        <x:v>94</x:v>
      </x:c>
      <x:c r="C86" s="19">
        <x:v>2.0</x:v>
      </x:c>
      <x:c r="D86" s="19">
        <x:v>27.0</x:v>
      </x:c>
      <x:c r="E86" s="19" t="str">
        <x:f>IFERROR(IF(VLOOKUP(D86,Giocatori!$A$4:$C$48,2,FALSE)&lt;&gt;"",VLOOKUP(D86,Giocatori!$A$4:$C$48,2,FALSE),"Giocatore "&amp;D86),"Giocatore "&amp;D86)</x:f>
        <x:v>Tufano Michele</x:v>
      </x:c>
      <x:c r="H86" s="19">
        <x:v>0.0</x:v>
      </x:c>
      <x:c r="I86" s="19" t="str">
        <x:f t="shared" si="1"/>
      </x:c>
    </x:row>
    <x:row r="87" ht="15.75" customHeight="1">
      <x:c r="A87" s="19">
        <x:v>3.0</x:v>
      </x:c>
      <x:c r="B87" s="19" t="s">
        <x:v>94</x:v>
      </x:c>
      <x:c r="C87" s="19">
        <x:v>3.0</x:v>
      </x:c>
      <x:c r="D87" s="19">
        <x:v>3.0</x:v>
      </x:c>
      <x:c r="E87" s="19" t="str">
        <x:f>IFERROR(IF(VLOOKUP(D87,Giocatori!$A$4:$C$48,2,FALSE)&lt;&gt;"",VLOOKUP(D87,Giocatori!$A$4:$C$48,2,FALSE),"Giocatore "&amp;D87),"Giocatore "&amp;D87)</x:f>
        <x:v>Beracci Lucio</x:v>
      </x:c>
      <x:c r="H87" s="19">
        <x:v>0.0</x:v>
      </x:c>
      <x:c r="I87" s="19" t="str">
        <x:f t="shared" si="1"/>
      </x:c>
    </x:row>
    <x:row r="88" ht="15.75" customHeight="1">
      <x:c r="A88" s="19">
        <x:v>3.0</x:v>
      </x:c>
      <x:c r="B88" s="19" t="s">
        <x:v>94</x:v>
      </x:c>
      <x:c r="C88" s="19">
        <x:v>4.0</x:v>
      </x:c>
      <x:c r="D88" s="19">
        <x:v>14.0</x:v>
      </x:c>
      <x:c r="E88" s="19" t="str">
        <x:f>IFERROR(IF(VLOOKUP(D88,Giocatori!$A$4:$C$48,2,FALSE)&lt;&gt;"",VLOOKUP(D88,Giocatori!$A$4:$C$48,2,FALSE),"Giocatore "&amp;D88),"Giocatore "&amp;D88)</x:f>
        <x:v>Botta Francesco</x:v>
      </x:c>
      <x:c r="H88" s="19">
        <x:v>0.0</x:v>
      </x:c>
      <x:c r="I88" s="19" t="str">
        <x:f t="shared" si="1"/>
      </x:c>
    </x:row>
    <x:row r="89" ht="15.75" customHeight="1">
      <x:c r="A89" s="19">
        <x:v>3.0</x:v>
      </x:c>
      <x:c r="B89" s="19" t="s">
        <x:v>94</x:v>
      </x:c>
      <x:c r="C89" s="19">
        <x:v>5.0</x:v>
      </x:c>
      <x:c r="D89" s="19">
        <x:v>20.0</x:v>
      </x:c>
      <x:c r="E89" s="19" t="str">
        <x:f>IFERROR(IF(VLOOKUP(D89,Giocatori!$A$4:$C$48,2,FALSE)&lt;&gt;"",VLOOKUP(D89,Giocatori!$A$4:$C$48,2,FALSE),"Giocatore "&amp;D89),"Giocatore "&amp;D89)</x:f>
        <x:v>Di Grazia Salvatore</x:v>
      </x:c>
      <x:c r="H89" s="19">
        <x:v>0.0</x:v>
      </x:c>
      <x:c r="I89" s="19" t="str">
        <x:f t="shared" si="1"/>
      </x:c>
    </x:row>
    <x:row r="90" ht="15.75" customHeight="1">
      <x:c r="A90" s="19">
        <x:v>3.0</x:v>
      </x:c>
      <x:c r="B90" s="19" t="s">
        <x:v>95</x:v>
      </x:c>
      <x:c r="C90" s="19">
        <x:v>1.0</x:v>
      </x:c>
      <x:c r="D90" s="19">
        <x:v>26.0</x:v>
      </x:c>
      <x:c r="E90" s="19" t="str">
        <x:f>IFERROR(IF(VLOOKUP(D90,Giocatori!$A$4:$C$48,2,FALSE)&lt;&gt;"",VLOOKUP(D90,Giocatori!$A$4:$C$48,2,FALSE),"Giocatore "&amp;D90),"Giocatore "&amp;D90)</x:f>
        <x:v>La Marca Franco</x:v>
      </x:c>
      <x:c r="H90" s="19">
        <x:v>0.0</x:v>
      </x:c>
      <x:c r="I90" s="19" t="str">
        <x:f t="shared" si="1"/>
      </x:c>
    </x:row>
    <x:row r="91" ht="15.75" customHeight="1">
      <x:c r="A91" s="19">
        <x:v>3.0</x:v>
      </x:c>
      <x:c r="B91" s="19" t="s">
        <x:v>95</x:v>
      </x:c>
      <x:c r="C91" s="19">
        <x:v>2.0</x:v>
      </x:c>
      <x:c r="D91" s="19">
        <x:v>2.0</x:v>
      </x:c>
      <x:c r="E91" s="19" t="str">
        <x:f>IFERROR(IF(VLOOKUP(D91,Giocatori!$A$4:$C$48,2,FALSE)&lt;&gt;"",VLOOKUP(D91,Giocatori!$A$4:$C$48,2,FALSE),"Giocatore "&amp;D91),"Giocatore "&amp;D91)</x:f>
        <x:v>Nicola Mauro</x:v>
      </x:c>
      <x:c r="H91" s="19">
        <x:v>0.0</x:v>
      </x:c>
      <x:c r="I91" s="19" t="str">
        <x:f t="shared" si="1"/>
      </x:c>
    </x:row>
    <x:row r="92" ht="15.75" customHeight="1">
      <x:c r="A92" s="19">
        <x:v>3.0</x:v>
      </x:c>
      <x:c r="B92" s="19" t="s">
        <x:v>95</x:v>
      </x:c>
      <x:c r="C92" s="19">
        <x:v>3.0</x:v>
      </x:c>
      <x:c r="D92" s="19">
        <x:v>8.0</x:v>
      </x:c>
      <x:c r="E92" s="19" t="str">
        <x:f>IFERROR(IF(VLOOKUP(D92,Giocatori!$A$4:$C$48,2,FALSE)&lt;&gt;"",VLOOKUP(D92,Giocatori!$A$4:$C$48,2,FALSE),"Giocatore "&amp;D92),"Giocatore "&amp;D92)</x:f>
        <x:v>Beracci Benedetto</x:v>
      </x:c>
      <x:c r="H92" s="19">
        <x:v>0.0</x:v>
      </x:c>
      <x:c r="I92" s="19" t="str">
        <x:f t="shared" si="1"/>
      </x:c>
    </x:row>
    <x:row r="93" ht="15.75" customHeight="1">
      <x:c r="A93" s="19">
        <x:v>3.0</x:v>
      </x:c>
      <x:c r="B93" s="19" t="s">
        <x:v>95</x:v>
      </x:c>
      <x:c r="C93" s="19">
        <x:v>4.0</x:v>
      </x:c>
      <x:c r="D93" s="19">
        <x:v>19.0</x:v>
      </x:c>
      <x:c r="E93" s="19" t="str">
        <x:f>IFERROR(IF(VLOOKUP(D93,Giocatori!$A$4:$C$48,2,FALSE)&lt;&gt;"",VLOOKUP(D93,Giocatori!$A$4:$C$48,2,FALSE),"Giocatore "&amp;D93),"Giocatore "&amp;D93)</x:f>
        <x:v>Fuschillo Franco</x:v>
      </x:c>
      <x:c r="H93" s="19">
        <x:v>0.0</x:v>
      </x:c>
      <x:c r="I93" s="19" t="str">
        <x:f t="shared" si="1"/>
      </x:c>
    </x:row>
    <x:row r="94" ht="15.75" customHeight="1">
      <x:c r="A94" s="19">
        <x:v>3.0</x:v>
      </x:c>
      <x:c r="B94" s="19" t="s">
        <x:v>95</x:v>
      </x:c>
      <x:c r="C94" s="19">
        <x:v>5.0</x:v>
      </x:c>
      <x:c r="D94" s="19">
        <x:v>25.0</x:v>
      </x:c>
      <x:c r="E94" s="19" t="str">
        <x:f>IFERROR(IF(VLOOKUP(D94,Giocatori!$A$4:$C$48,2,FALSE)&lt;&gt;"",VLOOKUP(D94,Giocatori!$A$4:$C$48,2,FALSE),"Giocatore "&amp;D94),"Giocatore "&amp;D94)</x:f>
        <x:v>Fontanella Giuseppe</x:v>
      </x:c>
      <x:c r="H94" s="19">
        <x:v>0.0</x:v>
      </x:c>
      <x:c r="I94" s="19" t="str">
        <x:f t="shared" si="1"/>
      </x:c>
    </x:row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13" hidden="0" customWidth="1"/>
    <x:col min="4" max="4" width="8" hidden="0" customWidth="1"/>
    <x:col min="5" max="5" width="14" hidden="0" customWidth="1"/>
    <x:col min="6" max="6" width="14" hidden="0" customWidth="1"/>
    <x:col min="7" max="7" width="15" hidden="0" customWidth="1"/>
    <x:col min="8" max="8" width="10" hidden="0" customWidth="1"/>
    <x:col min="9" max="9" width="18" hidden="0" customWidth="1"/>
    <x:col min="11" max="11" width="8" hidden="0" customWidth="1"/>
    <x:col min="12" max="12" width="8" hidden="0" customWidth="1"/>
    <x:col min="13" max="13" width="23" hidden="0" customWidth="1"/>
    <x:col min="14" max="14" width="10" hidden="0" customWidth="1"/>
    <x:col min="15" max="15" width="8" hidden="0" customWidth="1"/>
    <x:col min="16" max="16" width="12" hidden="0" customWidth="1"/>
    <x:col min="17" max="17" width="12" hidden="0" customWidth="1"/>
    <x:col min="18" max="18" width="12" hidden="0" customWidth="1"/>
    <x:col min="19" max="19" width="18" hidden="0" customWidth="1"/>
  </x:cols>
  <x:sheetData>
    <x:row r="1">
      <x:c r="A1" s="48" t="str">
        <x:v>CLASSIFICA INIZIALE — PRIMA SERATA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 t="str">
        <x:v>ORDINE UFFICIALE</x:v>
      </x:c>
      <x:c r="L1" s="48"/>
      <x:c r="M1" s="48"/>
      <x:c r="N1" s="48"/>
      <x:c r="O1" s="48"/>
      <x:c r="P1" s="48"/>
      <x:c r="Q1" s="48"/>
      <x:c r="R1" s="48"/>
      <x:c r="S1" s="48"/>
    </x:row>
    <x:row r="2">
      <x:c r="A2" t="str">
        <x:v>Calcolata dai risultati dei 3 turni già disputati. È la base ufficiale per la fase finale.</x:v>
      </x:c>
    </x:row>
    <x:row r="4">
      <x:c r="A4" s="46" t="str">
        <x:v>ID</x:v>
      </x:c>
      <x:c r="B4" s="46" t="str">
        <x:v>Nome</x:v>
      </x:c>
      <x:c r="C4" s="46" t="str">
        <x:v>Punti classifica</x:v>
      </x:c>
      <x:c r="D4" s="46" t="str">
        <x:v>Sòle</x:v>
      </x:c>
      <x:c r="E4" s="46" t="str">
        <x:v>Miglior posizione</x:v>
      </x:c>
      <x:c r="F4" s="46" t="str">
        <x:v>Min. punti partita</x:v>
      </x:c>
      <x:c r="G4" s="46" t="str">
        <x:v>Tot. punti partita</x:v>
      </x:c>
      <x:c r="H4" s="46" t="str">
        <x:v>Posizione</x:v>
      </x:c>
      <x:c r="I4" s="46" t="str">
        <x:v>Accesso</x:v>
      </x:c>
      <x:c r="K4" s="46" t="str">
        <x:v>Seed</x:v>
      </x:c>
      <x:c r="L4" s="46" t="str">
        <x:v>ID</x:v>
      </x:c>
      <x:c r="M4" s="46" t="str">
        <x:v>Nome</x:v>
      </x:c>
      <x:c r="N4" s="46" t="str">
        <x:v>Punti</x:v>
      </x:c>
      <x:c r="O4" s="46" t="str">
        <x:v>Sòle</x:v>
      </x:c>
      <x:c r="P4" s="46" t="str">
        <x:v>Miglior pos.</x:v>
      </x:c>
      <x:c r="Q4" s="46" t="str">
        <x:v>Min. punti</x:v>
      </x:c>
      <x:c r="R4" s="46" t="str">
        <x:v>Tot. punti</x:v>
      </x:c>
      <x:c r="S4" s="46" t="str">
        <x:v>Fase</x:v>
      </x:c>
    </x:row>
    <x:row r="5">
      <x:c r="A5" t="n">
        <x:v>1</x:v>
      </x:c>
      <x:c r="B5" t="str">
        <x:f>IFERROR(VLOOKUP(A5,Giocatori!$A$4:$B$48,2,FALSE),"")</x:f>
        <x:v>Zio Raffaele</x:v>
      </x:c>
      <x:c r="C5" t="n">
        <x:f>SUMIF(Risultati_40!$D$5:$D$124,A5,Risultati_40!$I$5:$I$124)</x:f>
        <x:v>5</x:v>
      </x:c>
      <x:c r="D5" t="n">
        <x:f>SUMIF(Risultati_40!$D$5:$D$124,A5,Risultati_40!$H$5:$H$124)</x:f>
        <x:v>0</x:v>
      </x:c>
      <x:c r="E5" t="n">
        <x:f>MINIFS(Risultati_40!$G$5:$G$124,Risultati_40!$D$5:$D$124,A5)</x:f>
        <x:v>4</x:v>
      </x:c>
      <x:c r="F5" t="n">
        <x:f>MINIFS(Risultati_40!$F$5:$F$124,Risultati_40!$D$5:$D$124,A5)</x:f>
        <x:v>63</x:v>
      </x:c>
      <x:c r="G5" t="n">
        <x:f>SUMIF(Risultati_40!$D$5:$D$124,A5,Risultati_40!$F$5:$F$124)</x:f>
        <x:v>228</x:v>
      </x:c>
      <x:c r="H5" t="n">
        <x:f>1+SUMPRODUCT(--($C$5:$C$44&gt;C5))+SUMPRODUCT(--($C$5:$C$44=C5),--($D$5:$D$44&gt;D5))+SUMPRODUCT(--($C$5:$C$44=C5),--($D$5:$D$44=D5),--($E$5:$E$44&lt;E5))+SUMPRODUCT(--($C$5:$C$44=C5),--($D$5:$D$44=D5),--($E$5:$E$44=E5),--($F$5:$F$44&lt;F5))+SUMPRODUCT(--($C$5:$C$44=C5),--($D$5:$D$44=D5),--($E$5:$E$44=E5),--($F$5:$F$44=F5),--($G$5:$G$44&lt;G5))+SUMPRODUCT(--($C$5:$C$44=C5),--($D$5:$D$44=D5),--($E$5:$E$44=E5),--($F$5:$F$44=F5),--($G$5:$G$44=G5),--($A$5:$A$44&lt;A5))</x:f>
        <x:v>37</x:v>
      </x:c>
      <x:c r="I5" t="str">
        <x:f>IF(H5&lt;=5,"ACCESSO TURNO 2",IF(H5&lt;=30,"TURNO 1","ELIMINATO"))</x:f>
        <x:v>ELIMINATO</x:v>
      </x:c>
      <x:c r="K5" t="n">
        <x:v>1</x:v>
      </x:c>
      <x:c r="L5" t="n">
        <x:f>INDEX($A$5:$A$44,MATCH(K5,$H$5:$H$44,0))</x:f>
        <x:v>19</x:v>
      </x:c>
      <x:c r="M5" t="str">
        <x:f>INDEX($B$5:$B$44,MATCH(K5,$H$5:$H$44,0))</x:f>
        <x:v>Fuschillo Franco</x:v>
      </x:c>
      <x:c r="N5" t="n">
        <x:f>INDEX($C$5:$C$44,MATCH(K5,$H$5:$H$44,0))</x:f>
        <x:v>26</x:v>
      </x:c>
      <x:c r="O5" t="n">
        <x:f>INDEX($D$5:$D$44,MATCH(K5,$H$5:$H$44,0))</x:f>
        <x:v>2.5</x:v>
      </x:c>
      <x:c r="P5" t="n">
        <x:f>INDEX($E$5:$E$44,MATCH(K5,$H$5:$H$44,0))</x:f>
        <x:v>1</x:v>
      </x:c>
      <x:c r="Q5" t="n">
        <x:f>INDEX($F$5:$F$44,MATCH(K5,$H$5:$H$44,0))</x:f>
        <x:v>18</x:v>
      </x:c>
      <x:c r="R5" t="n">
        <x:f>INDEX($G$5:$G$44,MATCH(K5,$H$5:$H$44,0))</x:f>
        <x:v>131</x:v>
      </x:c>
      <x:c r="S5" t="str">
        <x:f>INDEX($I$5:$I$44,MATCH(K5,$H$5:$H$44,0))</x:f>
        <x:v>ACCESSO TURNO 2</x:v>
      </x:c>
    </x:row>
    <x:row r="6">
      <x:c r="A6" t="n">
        <x:v>2</x:v>
      </x:c>
      <x:c r="B6" t="str">
        <x:f>IFERROR(VLOOKUP(A6,Giocatori!$A$4:$B$48,2,FALSE),"")</x:f>
        <x:v>Nicola Mauro</x:v>
      </x:c>
      <x:c r="C6" t="n">
        <x:f>SUMIF(Risultati_40!$D$5:$D$124,A6,Risultati_40!$I$5:$I$124)</x:f>
        <x:v>16</x:v>
      </x:c>
      <x:c r="D6" t="n">
        <x:f>SUMIF(Risultati_40!$D$5:$D$124,A6,Risultati_40!$H$5:$H$124)</x:f>
        <x:v>0</x:v>
      </x:c>
      <x:c r="E6" t="n">
        <x:f>MINIFS(Risultati_40!$G$5:$G$124,Risultati_40!$D$5:$D$124,A6)</x:f>
        <x:v>1</x:v>
      </x:c>
      <x:c r="F6" t="n">
        <x:f>MINIFS(Risultati_40!$F$5:$F$124,Risultati_40!$D$5:$D$124,A6)</x:f>
        <x:v>35</x:v>
      </x:c>
      <x:c r="G6" t="n">
        <x:f>SUMIF(Risultati_40!$D$5:$D$124,A6,Risultati_40!$F$5:$F$124)</x:f>
        <x:v>174</x:v>
      </x:c>
      <x:c r="H6" t="n">
        <x:f>1+SUMPRODUCT(--($C$5:$C$44&gt;C6))+SUMPRODUCT(--($C$5:$C$44=C6),--($D$5:$D$44&gt;D6))+SUMPRODUCT(--($C$5:$C$44=C6),--($D$5:$D$44=D6),--($E$5:$E$44&lt;E6))+SUMPRODUCT(--($C$5:$C$44=C6),--($D$5:$D$44=D6),--($E$5:$E$44=E6),--($F$5:$F$44&lt;F6))+SUMPRODUCT(--($C$5:$C$44=C6),--($D$5:$D$44=D6),--($E$5:$E$44=E6),--($F$5:$F$44=F6),--($G$5:$G$44&lt;G6))+SUMPRODUCT(--($C$5:$C$44=C6),--($D$5:$D$44=D6),--($E$5:$E$44=E6),--($F$5:$F$44=F6),--($G$5:$G$44=G6),--($A$5:$A$44&lt;A6))</x:f>
        <x:v>15</x:v>
      </x:c>
      <x:c r="I6" t="str">
        <x:f>IF(H6&lt;=5,"ACCESSO TURNO 2",IF(H6&lt;=30,"TURNO 1","ELIMINATO"))</x:f>
        <x:v>TURNO 1</x:v>
      </x:c>
      <x:c r="K6" t="n">
        <x:v>2</x:v>
      </x:c>
      <x:c r="L6" t="n">
        <x:f>INDEX($A$5:$A$44,MATCH(K6,$H$5:$H$44,0))</x:f>
        <x:v>26</x:v>
      </x:c>
      <x:c r="M6" t="str">
        <x:f>INDEX($B$5:$B$44,MATCH(K6,$H$5:$H$44,0))</x:f>
        <x:v>La Marca Franco</x:v>
      </x:c>
      <x:c r="N6" t="n">
        <x:f>INDEX($C$5:$C$44,MATCH(K6,$H$5:$H$44,0))</x:f>
        <x:v>24</x:v>
      </x:c>
      <x:c r="O6" t="n">
        <x:f>INDEX($D$5:$D$44,MATCH(K6,$H$5:$H$44,0))</x:f>
        <x:v>0</x:v>
      </x:c>
      <x:c r="P6" t="n">
        <x:f>INDEX($E$5:$E$44,MATCH(K6,$H$5:$H$44,0))</x:f>
        <x:v>1</x:v>
      </x:c>
      <x:c r="Q6" t="n">
        <x:f>INDEX($F$5:$F$44,MATCH(K6,$H$5:$H$44,0))</x:f>
        <x:v>28</x:v>
      </x:c>
      <x:c r="R6" t="n">
        <x:f>INDEX($G$5:$G$44,MATCH(K6,$H$5:$H$44,0))</x:f>
        <x:v>109</x:v>
      </x:c>
      <x:c r="S6" t="str">
        <x:f>INDEX($I$5:$I$44,MATCH(K6,$H$5:$H$44,0))</x:f>
        <x:v>ACCESSO TURNO 2</x:v>
      </x:c>
    </x:row>
    <x:row r="7">
      <x:c r="A7" t="n">
        <x:v>3</x:v>
      </x:c>
      <x:c r="B7" t="str">
        <x:f>IFERROR(VLOOKUP(A7,Giocatori!$A$4:$B$48,2,FALSE),"")</x:f>
        <x:v>Beracci Lucio</x:v>
      </x:c>
      <x:c r="C7" t="n">
        <x:f>SUMIF(Risultati_40!$D$5:$D$124,A7,Risultati_40!$I$5:$I$124)</x:f>
        <x:v>13</x:v>
      </x:c>
      <x:c r="D7" t="n">
        <x:f>SUMIF(Risultati_40!$D$5:$D$124,A7,Risultati_40!$H$5:$H$124)</x:f>
        <x:v>1</x:v>
      </x:c>
      <x:c r="E7" t="n">
        <x:f>MINIFS(Risultati_40!$G$5:$G$124,Risultati_40!$D$5:$D$124,A7)</x:f>
        <x:v>2</x:v>
      </x:c>
      <x:c r="F7" t="n">
        <x:f>MINIFS(Risultati_40!$F$5:$F$124,Risultati_40!$D$5:$D$124,A7)</x:f>
        <x:v>27</x:v>
      </x:c>
      <x:c r="G7" t="n">
        <x:f>SUMIF(Risultati_40!$D$5:$D$124,A7,Risultati_40!$F$5:$F$124)</x:f>
        <x:v>148</x:v>
      </x:c>
      <x:c r="H7" t="n">
        <x:f>1+SUMPRODUCT(--($C$5:$C$44&gt;C7))+SUMPRODUCT(--($C$5:$C$44=C7),--($D$5:$D$44&gt;D7))+SUMPRODUCT(--($C$5:$C$44=C7),--($D$5:$D$44=D7),--($E$5:$E$44&lt;E7))+SUMPRODUCT(--($C$5:$C$44=C7),--($D$5:$D$44=D7),--($E$5:$E$44=E7),--($F$5:$F$44&lt;F7))+SUMPRODUCT(--($C$5:$C$44=C7),--($D$5:$D$44=D7),--($E$5:$E$44=E7),--($F$5:$F$44=F7),--($G$5:$G$44&lt;G7))+SUMPRODUCT(--($C$5:$C$44=C7),--($D$5:$D$44=D7),--($E$5:$E$44=E7),--($F$5:$F$44=F7),--($G$5:$G$44=G7),--($A$5:$A$44&lt;A7))</x:f>
        <x:v>24</x:v>
      </x:c>
      <x:c r="I7" t="str">
        <x:f>IF(H7&lt;=5,"ACCESSO TURNO 2",IF(H7&lt;=30,"TURNO 1","ELIMINATO"))</x:f>
        <x:v>TURNO 1</x:v>
      </x:c>
      <x:c r="K7" t="n">
        <x:v>3</x:v>
      </x:c>
      <x:c r="L7" t="n">
        <x:f>INDEX($A$5:$A$44,MATCH(K7,$H$5:$H$44,0))</x:f>
        <x:v>24</x:v>
      </x:c>
      <x:c r="M7" t="str">
        <x:f>INDEX($B$5:$B$44,MATCH(K7,$H$5:$H$44,0))</x:f>
        <x:v>Napolitano Pasquale</x:v>
      </x:c>
      <x:c r="N7" t="n">
        <x:f>INDEX($C$5:$C$44,MATCH(K7,$H$5:$H$44,0))</x:f>
        <x:v>22</x:v>
      </x:c>
      <x:c r="O7" t="n">
        <x:f>INDEX($D$5:$D$44,MATCH(K7,$H$5:$H$44,0))</x:f>
        <x:v>0</x:v>
      </x:c>
      <x:c r="P7" t="n">
        <x:f>INDEX($E$5:$E$44,MATCH(K7,$H$5:$H$44,0))</x:f>
        <x:v>1</x:v>
      </x:c>
      <x:c r="Q7" t="n">
        <x:f>INDEX($F$5:$F$44,MATCH(K7,$H$5:$H$44,0))</x:f>
        <x:v>15</x:v>
      </x:c>
      <x:c r="R7" t="n">
        <x:f>INDEX($G$5:$G$44,MATCH(K7,$H$5:$H$44,0))</x:f>
        <x:v>122</x:v>
      </x:c>
      <x:c r="S7" t="str">
        <x:f>INDEX($I$5:$I$44,MATCH(K7,$H$5:$H$44,0))</x:f>
        <x:v>ACCESSO TURNO 2</x:v>
      </x:c>
    </x:row>
    <x:row r="8">
      <x:c r="A8" t="n">
        <x:v>4</x:v>
      </x:c>
      <x:c r="B8" t="str">
        <x:f>IFERROR(VLOOKUP(A8,Giocatori!$A$4:$B$48,2,FALSE),"")</x:f>
        <x:v>Annunziata Michele</x:v>
      </x:c>
      <x:c r="C8" t="n">
        <x:f>SUMIF(Risultati_40!$D$5:$D$124,A8,Risultati_40!$I$5:$I$124)</x:f>
        <x:v>14</x:v>
      </x:c>
      <x:c r="D8" t="n">
        <x:f>SUMIF(Risultati_40!$D$5:$D$124,A8,Risultati_40!$H$5:$H$124)</x:f>
        <x:v>0</x:v>
      </x:c>
      <x:c r="E8" t="n">
        <x:f>MINIFS(Risultati_40!$G$5:$G$124,Risultati_40!$D$5:$D$124,A8)</x:f>
        <x:v>2</x:v>
      </x:c>
      <x:c r="F8" t="n">
        <x:f>MINIFS(Risultati_40!$F$5:$F$124,Risultati_40!$D$5:$D$124,A8)</x:f>
        <x:v>50</x:v>
      </x:c>
      <x:c r="G8" t="n">
        <x:f>SUMIF(Risultati_40!$D$5:$D$124,A8,Risultati_40!$F$5:$F$124)</x:f>
        <x:v>191</x:v>
      </x:c>
      <x:c r="H8" t="n">
        <x:f>1+SUMPRODUCT(--($C$5:$C$44&gt;C8))+SUMPRODUCT(--($C$5:$C$44=C8),--($D$5:$D$44&gt;D8))+SUMPRODUCT(--($C$5:$C$44=C8),--($D$5:$D$44=D8),--($E$5:$E$44&lt;E8))+SUMPRODUCT(--($C$5:$C$44=C8),--($D$5:$D$44=D8),--($E$5:$E$44=E8),--($F$5:$F$44&lt;F8))+SUMPRODUCT(--($C$5:$C$44=C8),--($D$5:$D$44=D8),--($E$5:$E$44=E8),--($F$5:$F$44=F8),--($G$5:$G$44&lt;G8))+SUMPRODUCT(--($C$5:$C$44=C8),--($D$5:$D$44=D8),--($E$5:$E$44=E8),--($F$5:$F$44=F8),--($G$5:$G$44=G8),--($A$5:$A$44&lt;A8))</x:f>
        <x:v>23</x:v>
      </x:c>
      <x:c r="I8" t="str">
        <x:f>IF(H8&lt;=5,"ACCESSO TURNO 2",IF(H8&lt;=30,"TURNO 1","ELIMINATO"))</x:f>
        <x:v>TURNO 1</x:v>
      </x:c>
      <x:c r="K8" t="n">
        <x:v>4</x:v>
      </x:c>
      <x:c r="L8" t="n">
        <x:f>INDEX($A$5:$A$44,MATCH(K8,$H$5:$H$44,0))</x:f>
        <x:v>16</x:v>
      </x:c>
      <x:c r="M8" t="str">
        <x:f>INDEX($B$5:$B$44,MATCH(K8,$H$5:$H$44,0))</x:f>
        <x:v>Iorio Raffaele</x:v>
      </x:c>
      <x:c r="N8" t="n">
        <x:f>INDEX($C$5:$C$44,MATCH(K8,$H$5:$H$44,0))</x:f>
        <x:v>21</x:v>
      </x:c>
      <x:c r="O8" t="n">
        <x:f>INDEX($D$5:$D$44,MATCH(K8,$H$5:$H$44,0))</x:f>
        <x:v>0</x:v>
      </x:c>
      <x:c r="P8" t="n">
        <x:f>INDEX($E$5:$E$44,MATCH(K8,$H$5:$H$44,0))</x:f>
        <x:v>1</x:v>
      </x:c>
      <x:c r="Q8" t="n">
        <x:f>INDEX($F$5:$F$44,MATCH(K8,$H$5:$H$44,0))</x:f>
        <x:v>24</x:v>
      </x:c>
      <x:c r="R8" t="n">
        <x:f>INDEX($G$5:$G$44,MATCH(K8,$H$5:$H$44,0))</x:f>
        <x:v>128</x:v>
      </x:c>
      <x:c r="S8" t="str">
        <x:f>INDEX($I$5:$I$44,MATCH(K8,$H$5:$H$44,0))</x:f>
        <x:v>ACCESSO TURNO 2</x:v>
      </x:c>
    </x:row>
    <x:row r="9">
      <x:c r="A9" t="n">
        <x:v>5</x:v>
      </x:c>
      <x:c r="B9" t="str">
        <x:f>IFERROR(VLOOKUP(A9,Giocatori!$A$4:$B$48,2,FALSE),"")</x:f>
        <x:v>La Marca Carlo</x:v>
      </x:c>
      <x:c r="C9" t="n">
        <x:f>SUMIF(Risultati_40!$D$5:$D$124,A9,Risultati_40!$I$5:$I$124)</x:f>
        <x:v>17</x:v>
      </x:c>
      <x:c r="D9" t="n">
        <x:f>SUMIF(Risultati_40!$D$5:$D$124,A9,Risultati_40!$H$5:$H$124)</x:f>
        <x:v>0</x:v>
      </x:c>
      <x:c r="E9" t="n">
        <x:f>MINIFS(Risultati_40!$G$5:$G$124,Risultati_40!$D$5:$D$124,A9)</x:f>
        <x:v>1</x:v>
      </x:c>
      <x:c r="F9" t="n">
        <x:f>MINIFS(Risultati_40!$F$5:$F$124,Risultati_40!$D$5:$D$124,A9)</x:f>
        <x:v>16</x:v>
      </x:c>
      <x:c r="G9" t="n">
        <x:f>SUMIF(Risultati_40!$D$5:$D$124,A9,Risultati_40!$F$5:$F$124)</x:f>
        <x:v>102</x:v>
      </x:c>
      <x:c r="H9" t="n">
        <x:f>1+SUMPRODUCT(--($C$5:$C$44&gt;C9))+SUMPRODUCT(--($C$5:$C$44=C9),--($D$5:$D$44&gt;D9))+SUMPRODUCT(--($C$5:$C$44=C9),--($D$5:$D$44=D9),--($E$5:$E$44&lt;E9))+SUMPRODUCT(--($C$5:$C$44=C9),--($D$5:$D$44=D9),--($E$5:$E$44=E9),--($F$5:$F$44&lt;F9))+SUMPRODUCT(--($C$5:$C$44=C9),--($D$5:$D$44=D9),--($E$5:$E$44=E9),--($F$5:$F$44=F9),--($G$5:$G$44&lt;G9))+SUMPRODUCT(--($C$5:$C$44=C9),--($D$5:$D$44=D9),--($E$5:$E$44=E9),--($F$5:$F$44=F9),--($G$5:$G$44=G9),--($A$5:$A$44&lt;A9))</x:f>
        <x:v>9</x:v>
      </x:c>
      <x:c r="I9" t="str">
        <x:f>IF(H9&lt;=5,"ACCESSO TURNO 2",IF(H9&lt;=30,"TURNO 1","ELIMINATO"))</x:f>
        <x:v>TURNO 1</x:v>
      </x:c>
      <x:c r="K9" t="n">
        <x:v>5</x:v>
      </x:c>
      <x:c r="L9" t="n">
        <x:f>INDEX($A$5:$A$44,MATCH(K9,$H$5:$H$44,0))</x:f>
        <x:v>29</x:v>
      </x:c>
      <x:c r="M9" t="str">
        <x:f>INDEX($B$5:$B$44,MATCH(K9,$H$5:$H$44,0))</x:f>
        <x:v>Tufano Giovanni</x:v>
      </x:c>
      <x:c r="N9" t="n">
        <x:f>INDEX($C$5:$C$44,MATCH(K9,$H$5:$H$44,0))</x:f>
        <x:v>20</x:v>
      </x:c>
      <x:c r="O9" t="n">
        <x:f>INDEX($D$5:$D$44,MATCH(K9,$H$5:$H$44,0))</x:f>
        <x:v>1</x:v>
      </x:c>
      <x:c r="P9" t="n">
        <x:f>INDEX($E$5:$E$44,MATCH(K9,$H$5:$H$44,0))</x:f>
        <x:v>2</x:v>
      </x:c>
      <x:c r="Q9" t="n">
        <x:f>INDEX($F$5:$F$44,MATCH(K9,$H$5:$H$44,0))</x:f>
        <x:v>30</x:v>
      </x:c>
      <x:c r="R9" t="n">
        <x:f>INDEX($G$5:$G$44,MATCH(K9,$H$5:$H$44,0))</x:f>
        <x:v>113</x:v>
      </x:c>
      <x:c r="S9" t="str">
        <x:f>INDEX($I$5:$I$44,MATCH(K9,$H$5:$H$44,0))</x:f>
        <x:v>ACCESSO TURNO 2</x:v>
      </x:c>
    </x:row>
    <x:row r="10">
      <x:c r="A10" t="n">
        <x:v>6</x:v>
      </x:c>
      <x:c r="B10" t="str">
        <x:f>IFERROR(VLOOKUP(A10,Giocatori!$A$4:$B$48,2,FALSE),"")</x:f>
        <x:v>Sommese Antonio</x:v>
      </x:c>
      <x:c r="C10" t="n">
        <x:f>SUMIF(Risultati_40!$D$5:$D$124,A10,Risultati_40!$I$5:$I$124)</x:f>
        <x:v>16</x:v>
      </x:c>
      <x:c r="D10" t="n">
        <x:f>SUMIF(Risultati_40!$D$5:$D$124,A10,Risultati_40!$H$5:$H$124)</x:f>
        <x:v>0</x:v>
      </x:c>
      <x:c r="E10" t="n">
        <x:f>MINIFS(Risultati_40!$G$5:$G$124,Risultati_40!$D$5:$D$124,A10)</x:f>
        <x:v>2</x:v>
      </x:c>
      <x:c r="F10" t="n">
        <x:f>MINIFS(Risultati_40!$F$5:$F$124,Risultati_40!$D$5:$D$124,A10)</x:f>
        <x:v>38</x:v>
      </x:c>
      <x:c r="G10" t="n">
        <x:f>SUMIF(Risultati_40!$D$5:$D$124,A10,Risultati_40!$F$5:$F$124)</x:f>
        <x:v>148</x:v>
      </x:c>
      <x:c r="H10" t="n">
        <x:f>1+SUMPRODUCT(--($C$5:$C$44&gt;C10))+SUMPRODUCT(--($C$5:$C$44=C10),--($D$5:$D$44&gt;D10))+SUMPRODUCT(--($C$5:$C$44=C10),--($D$5:$D$44=D10),--($E$5:$E$44&lt;E10))+SUMPRODUCT(--($C$5:$C$44=C10),--($D$5:$D$44=D10),--($E$5:$E$44=E10),--($F$5:$F$44&lt;F10))+SUMPRODUCT(--($C$5:$C$44=C10),--($D$5:$D$44=D10),--($E$5:$E$44=E10),--($F$5:$F$44=F10),--($G$5:$G$44&lt;G10))+SUMPRODUCT(--($C$5:$C$44=C10),--($D$5:$D$44=D10),--($E$5:$E$44=E10),--($F$5:$F$44=F10),--($G$5:$G$44=G10),--($A$5:$A$44&lt;A10))</x:f>
        <x:v>17</x:v>
      </x:c>
      <x:c r="I10" t="str">
        <x:f>IF(H10&lt;=5,"ACCESSO TURNO 2",IF(H10&lt;=30,"TURNO 1","ELIMINATO"))</x:f>
        <x:v>TURNO 1</x:v>
      </x:c>
      <x:c r="K10" t="n">
        <x:v>6</x:v>
      </x:c>
      <x:c r="L10" t="n">
        <x:f>INDEX($A$5:$A$44,MATCH(K10,$H$5:$H$44,0))</x:f>
        <x:v>10</x:v>
      </x:c>
      <x:c r="M10" t="str">
        <x:f>INDEX($B$5:$B$44,MATCH(K10,$H$5:$H$44,0))</x:f>
        <x:v>Caliendo Nunzio</x:v>
      </x:c>
      <x:c r="N10" t="n">
        <x:f>INDEX($C$5:$C$44,MATCH(K10,$H$5:$H$44,0))</x:f>
        <x:v>19</x:v>
      </x:c>
      <x:c r="O10" t="n">
        <x:f>INDEX($D$5:$D$44,MATCH(K10,$H$5:$H$44,0))</x:f>
        <x:v>1</x:v>
      </x:c>
      <x:c r="P10" t="n">
        <x:f>INDEX($E$5:$E$44,MATCH(K10,$H$5:$H$44,0))</x:f>
        <x:v>1</x:v>
      </x:c>
      <x:c r="Q10" t="n">
        <x:f>INDEX($F$5:$F$44,MATCH(K10,$H$5:$H$44,0))</x:f>
        <x:v>32</x:v>
      </x:c>
      <x:c r="R10" t="n">
        <x:f>INDEX($G$5:$G$44,MATCH(K10,$H$5:$H$44,0))</x:f>
        <x:v>126</x:v>
      </x:c>
      <x:c r="S10" t="str">
        <x:f>INDEX($I$5:$I$44,MATCH(K10,$H$5:$H$44,0))</x:f>
        <x:v>TURNO 1</x:v>
      </x:c>
    </x:row>
    <x:row r="11">
      <x:c r="A11" t="n">
        <x:v>7</x:v>
      </x:c>
      <x:c r="B11" t="str">
        <x:f>IFERROR(VLOOKUP(A11,Giocatori!$A$4:$B$48,2,FALSE),"")</x:f>
        <x:v>Notaro massimo</x:v>
      </x:c>
      <x:c r="C11" t="n">
        <x:f>SUMIF(Risultati_40!$D$5:$D$124,A11,Risultati_40!$I$5:$I$124)</x:f>
        <x:v>7</x:v>
      </x:c>
      <x:c r="D11" t="n">
        <x:f>SUMIF(Risultati_40!$D$5:$D$124,A11,Risultati_40!$H$5:$H$124)</x:f>
        <x:v>0</x:v>
      </x:c>
      <x:c r="E11" t="n">
        <x:f>MINIFS(Risultati_40!$G$5:$G$124,Risultati_40!$D$5:$D$124,A11)</x:f>
        <x:v>3</x:v>
      </x:c>
      <x:c r="F11" t="n">
        <x:f>MINIFS(Risultati_40!$F$5:$F$124,Risultati_40!$D$5:$D$124,A11)</x:f>
        <x:v>62</x:v>
      </x:c>
      <x:c r="G11" t="n">
        <x:f>SUMIF(Risultati_40!$D$5:$D$124,A11,Risultati_40!$F$5:$F$124)</x:f>
        <x:v>214</x:v>
      </x:c>
      <x:c r="H11" t="n">
        <x:f>1+SUMPRODUCT(--($C$5:$C$44&gt;C11))+SUMPRODUCT(--($C$5:$C$44=C11),--($D$5:$D$44&gt;D11))+SUMPRODUCT(--($C$5:$C$44=C11),--($D$5:$D$44=D11),--($E$5:$E$44&lt;E11))+SUMPRODUCT(--($C$5:$C$44=C11),--($D$5:$D$44=D11),--($E$5:$E$44=E11),--($F$5:$F$44&lt;F11))+SUMPRODUCT(--($C$5:$C$44=C11),--($D$5:$D$44=D11),--($E$5:$E$44=E11),--($F$5:$F$44=F11),--($G$5:$G$44&lt;G11))+SUMPRODUCT(--($C$5:$C$44=C11),--($D$5:$D$44=D11),--($E$5:$E$44=E11),--($F$5:$F$44=F11),--($G$5:$G$44=G11),--($A$5:$A$44&lt;A11))</x:f>
        <x:v>34</x:v>
      </x:c>
      <x:c r="I11" t="str">
        <x:f>IF(H11&lt;=5,"ACCESSO TURNO 2",IF(H11&lt;=30,"TURNO 1","ELIMINATO"))</x:f>
        <x:v>ELIMINATO</x:v>
      </x:c>
      <x:c r="K11" t="n">
        <x:v>7</x:v>
      </x:c>
      <x:c r="L11" t="n">
        <x:f>INDEX($A$5:$A$44,MATCH(K11,$H$5:$H$44,0))</x:f>
        <x:v>31</x:v>
      </x:c>
      <x:c r="M11" t="str">
        <x:f>INDEX($B$5:$B$44,MATCH(K11,$H$5:$H$44,0))</x:f>
        <x:v>Anna Angiero</x:v>
      </x:c>
      <x:c r="N11" t="n">
        <x:f>INDEX($C$5:$C$44,MATCH(K11,$H$5:$H$44,0))</x:f>
        <x:v>19</x:v>
      </x:c>
      <x:c r="O11" t="n">
        <x:f>INDEX($D$5:$D$44,MATCH(K11,$H$5:$H$44,0))</x:f>
        <x:v>0</x:v>
      </x:c>
      <x:c r="P11" t="n">
        <x:f>INDEX($E$5:$E$44,MATCH(K11,$H$5:$H$44,0))</x:f>
        <x:v>1</x:v>
      </x:c>
      <x:c r="Q11" t="n">
        <x:f>INDEX($F$5:$F$44,MATCH(K11,$H$5:$H$44,0))</x:f>
        <x:v>8</x:v>
      </x:c>
      <x:c r="R11" t="n">
        <x:f>INDEX($G$5:$G$44,MATCH(K11,$H$5:$H$44,0))</x:f>
        <x:v>129</x:v>
      </x:c>
      <x:c r="S11" t="str">
        <x:f>INDEX($I$5:$I$44,MATCH(K11,$H$5:$H$44,0))</x:f>
        <x:v>TURNO 1</x:v>
      </x:c>
    </x:row>
    <x:row r="12">
      <x:c r="A12" t="n">
        <x:v>8</x:v>
      </x:c>
      <x:c r="B12" t="str">
        <x:f>IFERROR(VLOOKUP(A12,Giocatori!$A$4:$B$48,2,FALSE),"")</x:f>
        <x:v>Beracci Benedetto</x:v>
      </x:c>
      <x:c r="C12" t="n">
        <x:f>SUMIF(Risultati_40!$D$5:$D$124,A12,Risultati_40!$I$5:$I$124)</x:f>
        <x:v>7</x:v>
      </x:c>
      <x:c r="D12" t="n">
        <x:f>SUMIF(Risultati_40!$D$5:$D$124,A12,Risultati_40!$H$5:$H$124)</x:f>
        <x:v>0</x:v>
      </x:c>
      <x:c r="E12" t="n">
        <x:f>MINIFS(Risultati_40!$G$5:$G$124,Risultati_40!$D$5:$D$124,A12)</x:f>
        <x:v>3</x:v>
      </x:c>
      <x:c r="F12" t="n">
        <x:f>MINIFS(Risultati_40!$F$5:$F$124,Risultati_40!$D$5:$D$124,A12)</x:f>
        <x:v>36</x:v>
      </x:c>
      <x:c r="G12" t="n">
        <x:f>SUMIF(Risultati_40!$D$5:$D$124,A12,Risultati_40!$F$5:$F$124)</x:f>
        <x:v>202</x:v>
      </x:c>
      <x:c r="H12" t="n">
        <x:f>1+SUMPRODUCT(--($C$5:$C$44&gt;C12))+SUMPRODUCT(--($C$5:$C$44=C12),--($D$5:$D$44&gt;D12))+SUMPRODUCT(--($C$5:$C$44=C12),--($D$5:$D$44=D12),--($E$5:$E$44&lt;E12))+SUMPRODUCT(--($C$5:$C$44=C12),--($D$5:$D$44=D12),--($E$5:$E$44=E12),--($F$5:$F$44&lt;F12))+SUMPRODUCT(--($C$5:$C$44=C12),--($D$5:$D$44=D12),--($E$5:$E$44=E12),--($F$5:$F$44=F12),--($G$5:$G$44&lt;G12))+SUMPRODUCT(--($C$5:$C$44=C12),--($D$5:$D$44=D12),--($E$5:$E$44=E12),--($F$5:$F$44=F12),--($G$5:$G$44=G12),--($A$5:$A$44&lt;A12))</x:f>
        <x:v>33</x:v>
      </x:c>
      <x:c r="I12" t="str">
        <x:f>IF(H12&lt;=5,"ACCESSO TURNO 2",IF(H12&lt;=30,"TURNO 1","ELIMINATO"))</x:f>
        <x:v>ELIMINATO</x:v>
      </x:c>
      <x:c r="K12" t="n">
        <x:v>8</x:v>
      </x:c>
      <x:c r="L12" t="n">
        <x:f>INDEX($A$5:$A$44,MATCH(K12,$H$5:$H$44,0))</x:f>
        <x:v>30</x:v>
      </x:c>
      <x:c r="M12" t="str">
        <x:f>INDEX($B$5:$B$44,MATCH(K12,$H$5:$H$44,0))</x:f>
        <x:v>Mauro Raffaele</x:v>
      </x:c>
      <x:c r="N12" t="n">
        <x:f>INDEX($C$5:$C$44,MATCH(K12,$H$5:$H$44,0))</x:f>
        <x:v>17</x:v>
      </x:c>
      <x:c r="O12" t="n">
        <x:f>INDEX($D$5:$D$44,MATCH(K12,$H$5:$H$44,0))</x:f>
        <x:v>1</x:v>
      </x:c>
      <x:c r="P12" t="n">
        <x:f>INDEX($E$5:$E$44,MATCH(K12,$H$5:$H$44,0))</x:f>
        <x:v>1</x:v>
      </x:c>
      <x:c r="Q12" t="n">
        <x:f>INDEX($F$5:$F$44,MATCH(K12,$H$5:$H$44,0))</x:f>
        <x:v>33</x:v>
      </x:c>
      <x:c r="R12" t="n">
        <x:f>INDEX($G$5:$G$44,MATCH(K12,$H$5:$H$44,0))</x:f>
        <x:v>140</x:v>
      </x:c>
      <x:c r="S12" t="str">
        <x:f>INDEX($I$5:$I$44,MATCH(K12,$H$5:$H$44,0))</x:f>
        <x:v>TURNO 1</x:v>
      </x:c>
    </x:row>
    <x:row r="13">
      <x:c r="A13" t="n">
        <x:v>9</x:v>
      </x:c>
      <x:c r="B13" t="str">
        <x:f>IFERROR(VLOOKUP(A13,Giocatori!$A$4:$B$48,2,FALSE),"")</x:f>
        <x:v>Atria Gregorio</x:v>
      </x:c>
      <x:c r="C13" t="n">
        <x:f>SUMIF(Risultati_40!$D$5:$D$124,A13,Risultati_40!$I$5:$I$124)</x:f>
        <x:v>14</x:v>
      </x:c>
      <x:c r="D13" t="n">
        <x:f>SUMIF(Risultati_40!$D$5:$D$124,A13,Risultati_40!$H$5:$H$124)</x:f>
        <x:v>0</x:v>
      </x:c>
      <x:c r="E13" t="n">
        <x:f>MINIFS(Risultati_40!$G$5:$G$124,Risultati_40!$D$5:$D$124,A13)</x:f>
        <x:v>1</x:v>
      </x:c>
      <x:c r="F13" t="n">
        <x:f>MINIFS(Risultati_40!$F$5:$F$124,Risultati_40!$D$5:$D$124,A13)</x:f>
        <x:v>50</x:v>
      </x:c>
      <x:c r="G13" t="n">
        <x:f>SUMIF(Risultati_40!$D$5:$D$124,A13,Risultati_40!$F$5:$F$124)</x:f>
        <x:v>192</x:v>
      </x:c>
      <x:c r="H13" t="n">
        <x:f>1+SUMPRODUCT(--($C$5:$C$44&gt;C13))+SUMPRODUCT(--($C$5:$C$44=C13),--($D$5:$D$44&gt;D13))+SUMPRODUCT(--($C$5:$C$44=C13),--($D$5:$D$44=D13),--($E$5:$E$44&lt;E13))+SUMPRODUCT(--($C$5:$C$44=C13),--($D$5:$D$44=D13),--($E$5:$E$44=E13),--($F$5:$F$44&lt;F13))+SUMPRODUCT(--($C$5:$C$44=C13),--($D$5:$D$44=D13),--($E$5:$E$44=E13),--($F$5:$F$44=F13),--($G$5:$G$44&lt;G13))+SUMPRODUCT(--($C$5:$C$44=C13),--($D$5:$D$44=D13),--($E$5:$E$44=E13),--($F$5:$F$44=F13),--($G$5:$G$44=G13),--($A$5:$A$44&lt;A13))</x:f>
        <x:v>21</x:v>
      </x:c>
      <x:c r="I13" t="str">
        <x:f>IF(H13&lt;=5,"ACCESSO TURNO 2",IF(H13&lt;=30,"TURNO 1","ELIMINATO"))</x:f>
        <x:v>TURNO 1</x:v>
      </x:c>
      <x:c r="K13" t="n">
        <x:v>9</x:v>
      </x:c>
      <x:c r="L13" t="n">
        <x:f>INDEX($A$5:$A$44,MATCH(K13,$H$5:$H$44,0))</x:f>
        <x:v>5</x:v>
      </x:c>
      <x:c r="M13" t="str">
        <x:f>INDEX($B$5:$B$44,MATCH(K13,$H$5:$H$44,0))</x:f>
        <x:v>La Marca Carlo</x:v>
      </x:c>
      <x:c r="N13" t="n">
        <x:f>INDEX($C$5:$C$44,MATCH(K13,$H$5:$H$44,0))</x:f>
        <x:v>17</x:v>
      </x:c>
      <x:c r="O13" t="n">
        <x:f>INDEX($D$5:$D$44,MATCH(K13,$H$5:$H$44,0))</x:f>
        <x:v>0</x:v>
      </x:c>
      <x:c r="P13" t="n">
        <x:f>INDEX($E$5:$E$44,MATCH(K13,$H$5:$H$44,0))</x:f>
        <x:v>1</x:v>
      </x:c>
      <x:c r="Q13" t="n">
        <x:f>INDEX($F$5:$F$44,MATCH(K13,$H$5:$H$44,0))</x:f>
        <x:v>16</x:v>
      </x:c>
      <x:c r="R13" t="n">
        <x:f>INDEX($G$5:$G$44,MATCH(K13,$H$5:$H$44,0))</x:f>
        <x:v>102</x:v>
      </x:c>
      <x:c r="S13" t="str">
        <x:f>INDEX($I$5:$I$44,MATCH(K13,$H$5:$H$44,0))</x:f>
        <x:v>TURNO 1</x:v>
      </x:c>
    </x:row>
    <x:row r="14">
      <x:c r="A14" t="n">
        <x:v>10</x:v>
      </x:c>
      <x:c r="B14" t="str">
        <x:f>IFERROR(VLOOKUP(A14,Giocatori!$A$4:$B$48,2,FALSE),"")</x:f>
        <x:v>Caliendo Nunzio</x:v>
      </x:c>
      <x:c r="C14" t="n">
        <x:f>SUMIF(Risultati_40!$D$5:$D$124,A14,Risultati_40!$I$5:$I$124)</x:f>
        <x:v>19</x:v>
      </x:c>
      <x:c r="D14" t="n">
        <x:f>SUMIF(Risultati_40!$D$5:$D$124,A14,Risultati_40!$H$5:$H$124)</x:f>
        <x:v>1</x:v>
      </x:c>
      <x:c r="E14" t="n">
        <x:f>MINIFS(Risultati_40!$G$5:$G$124,Risultati_40!$D$5:$D$124,A14)</x:f>
        <x:v>1</x:v>
      </x:c>
      <x:c r="F14" t="n">
        <x:f>MINIFS(Risultati_40!$F$5:$F$124,Risultati_40!$D$5:$D$124,A14)</x:f>
        <x:v>32</x:v>
      </x:c>
      <x:c r="G14" t="n">
        <x:f>SUMIF(Risultati_40!$D$5:$D$124,A14,Risultati_40!$F$5:$F$124)</x:f>
        <x:v>126</x:v>
      </x:c>
      <x:c r="H14" t="n">
        <x:f>1+SUMPRODUCT(--($C$5:$C$44&gt;C14))+SUMPRODUCT(--($C$5:$C$44=C14),--($D$5:$D$44&gt;D14))+SUMPRODUCT(--($C$5:$C$44=C14),--($D$5:$D$44=D14),--($E$5:$E$44&lt;E14))+SUMPRODUCT(--($C$5:$C$44=C14),--($D$5:$D$44=D14),--($E$5:$E$44=E14),--($F$5:$F$44&lt;F14))+SUMPRODUCT(--($C$5:$C$44=C14),--($D$5:$D$44=D14),--($E$5:$E$44=E14),--($F$5:$F$44=F14),--($G$5:$G$44&lt;G14))+SUMPRODUCT(--($C$5:$C$44=C14),--($D$5:$D$44=D14),--($E$5:$E$44=E14),--($F$5:$F$44=F14),--($G$5:$G$44=G14),--($A$5:$A$44&lt;A14))</x:f>
        <x:v>6</x:v>
      </x:c>
      <x:c r="I14" t="str">
        <x:f>IF(H14&lt;=5,"ACCESSO TURNO 2",IF(H14&lt;=30,"TURNO 1","ELIMINATO"))</x:f>
        <x:v>TURNO 1</x:v>
      </x:c>
      <x:c r="K14" t="n">
        <x:v>10</x:v>
      </x:c>
      <x:c r="L14" t="n">
        <x:f>INDEX($A$5:$A$44,MATCH(K14,$H$5:$H$44,0))</x:f>
        <x:v>37</x:v>
      </x:c>
      <x:c r="M14" t="str">
        <x:f>INDEX($B$5:$B$44,MATCH(K14,$H$5:$H$44,0))</x:f>
        <x:v>Annunziata Raffaele</x:v>
      </x:c>
      <x:c r="N14" t="n">
        <x:f>INDEX($C$5:$C$44,MATCH(K14,$H$5:$H$44,0))</x:f>
        <x:v>17</x:v>
      </x:c>
      <x:c r="O14" t="n">
        <x:f>INDEX($D$5:$D$44,MATCH(K14,$H$5:$H$44,0))</x:f>
        <x:v>0</x:v>
      </x:c>
      <x:c r="P14" t="n">
        <x:f>INDEX($E$5:$E$44,MATCH(K14,$H$5:$H$44,0))</x:f>
        <x:v>1</x:v>
      </x:c>
      <x:c r="Q14" t="n">
        <x:f>INDEX($F$5:$F$44,MATCH(K14,$H$5:$H$44,0))</x:f>
        <x:v>22</x:v>
      </x:c>
      <x:c r="R14" t="n">
        <x:f>INDEX($G$5:$G$44,MATCH(K14,$H$5:$H$44,0))</x:f>
        <x:v>104</x:v>
      </x:c>
      <x:c r="S14" t="str">
        <x:f>INDEX($I$5:$I$44,MATCH(K14,$H$5:$H$44,0))</x:f>
        <x:v>TURNO 1</x:v>
      </x:c>
    </x:row>
    <x:row r="15">
      <x:c r="A15" t="n">
        <x:v>11</x:v>
      </x:c>
      <x:c r="B15" t="str">
        <x:f>IFERROR(VLOOKUP(A15,Giocatori!$A$4:$B$48,2,FALSE),"")</x:f>
        <x:v>Moccia Biagio</x:v>
      </x:c>
      <x:c r="C15" t="n">
        <x:f>SUMIF(Risultati_40!$D$5:$D$124,A15,Risultati_40!$I$5:$I$124)</x:f>
        <x:v>17</x:v>
      </x:c>
      <x:c r="D15" t="n">
        <x:f>SUMIF(Risultati_40!$D$5:$D$124,A15,Risultati_40!$H$5:$H$124)</x:f>
        <x:v>0</x:v>
      </x:c>
      <x:c r="E15" t="n">
        <x:f>MINIFS(Risultati_40!$G$5:$G$124,Risultati_40!$D$5:$D$124,A15)</x:f>
        <x:v>1</x:v>
      </x:c>
      <x:c r="F15" t="n">
        <x:f>MINIFS(Risultati_40!$F$5:$F$124,Risultati_40!$D$5:$D$124,A15)</x:f>
        <x:v>31</x:v>
      </x:c>
      <x:c r="G15" t="n">
        <x:f>SUMIF(Risultati_40!$D$5:$D$124,A15,Risultati_40!$F$5:$F$124)</x:f>
        <x:v>146</x:v>
      </x:c>
      <x:c r="H15" t="n">
        <x:f>1+SUMPRODUCT(--($C$5:$C$44&gt;C15))+SUMPRODUCT(--($C$5:$C$44=C15),--($D$5:$D$44&gt;D15))+SUMPRODUCT(--($C$5:$C$44=C15),--($D$5:$D$44=D15),--($E$5:$E$44&lt;E15))+SUMPRODUCT(--($C$5:$C$44=C15),--($D$5:$D$44=D15),--($E$5:$E$44=E15),--($F$5:$F$44&lt;F15))+SUMPRODUCT(--($C$5:$C$44=C15),--($D$5:$D$44=D15),--($E$5:$E$44=E15),--($F$5:$F$44=F15),--($G$5:$G$44&lt;G15))+SUMPRODUCT(--($C$5:$C$44=C15),--($D$5:$D$44=D15),--($E$5:$E$44=E15),--($F$5:$F$44=F15),--($G$5:$G$44=G15),--($A$5:$A$44&lt;A15))</x:f>
        <x:v>12</x:v>
      </x:c>
      <x:c r="I15" t="str">
        <x:f>IF(H15&lt;=5,"ACCESSO TURNO 2",IF(H15&lt;=30,"TURNO 1","ELIMINATO"))</x:f>
        <x:v>TURNO 1</x:v>
      </x:c>
      <x:c r="K15" t="n">
        <x:v>11</x:v>
      </x:c>
      <x:c r="L15" t="n">
        <x:f>INDEX($A$5:$A$44,MATCH(K15,$H$5:$H$44,0))</x:f>
        <x:v>39</x:v>
      </x:c>
      <x:c r="M15" t="str">
        <x:f>INDEX($B$5:$B$44,MATCH(K15,$H$5:$H$44,0))</x:f>
        <x:v>La Marca Pasquale</x:v>
      </x:c>
      <x:c r="N15" t="n">
        <x:f>INDEX($C$5:$C$44,MATCH(K15,$H$5:$H$44,0))</x:f>
        <x:v>17</x:v>
      </x:c>
      <x:c r="O15" t="n">
        <x:f>INDEX($D$5:$D$44,MATCH(K15,$H$5:$H$44,0))</x:f>
        <x:v>0</x:v>
      </x:c>
      <x:c r="P15" t="n">
        <x:f>INDEX($E$5:$E$44,MATCH(K15,$H$5:$H$44,0))</x:f>
        <x:v>1</x:v>
      </x:c>
      <x:c r="Q15" t="n">
        <x:f>INDEX($F$5:$F$44,MATCH(K15,$H$5:$H$44,0))</x:f>
        <x:v>29</x:v>
      </x:c>
      <x:c r="R15" t="n">
        <x:f>INDEX($G$5:$G$44,MATCH(K15,$H$5:$H$44,0))</x:f>
        <x:v>128</x:v>
      </x:c>
      <x:c r="S15" t="str">
        <x:f>INDEX($I$5:$I$44,MATCH(K15,$H$5:$H$44,0))</x:f>
        <x:v>TURNO 1</x:v>
      </x:c>
    </x:row>
    <x:row r="16">
      <x:c r="A16" t="n">
        <x:v>12</x:v>
      </x:c>
      <x:c r="B16" t="str">
        <x:f>IFERROR(VLOOKUP(A16,Giocatori!$A$4:$B$48,2,FALSE),"")</x:f>
        <x:v>De Falco Andrea</x:v>
      </x:c>
      <x:c r="C16" t="n">
        <x:f>SUMIF(Risultati_40!$D$5:$D$124,A16,Risultati_40!$I$5:$I$124)</x:f>
        <x:v>16</x:v>
      </x:c>
      <x:c r="D16" t="n">
        <x:f>SUMIF(Risultati_40!$D$5:$D$124,A16,Risultati_40!$H$5:$H$124)</x:f>
        <x:v>0</x:v>
      </x:c>
      <x:c r="E16" t="n">
        <x:f>MINIFS(Risultati_40!$G$5:$G$124,Risultati_40!$D$5:$D$124,A16)</x:f>
        <x:v>1</x:v>
      </x:c>
      <x:c r="F16" t="n">
        <x:f>MINIFS(Risultati_40!$F$5:$F$124,Risultati_40!$D$5:$D$124,A16)</x:f>
        <x:v>38</x:v>
      </x:c>
      <x:c r="G16" t="n">
        <x:f>SUMIF(Risultati_40!$D$5:$D$124,A16,Risultati_40!$F$5:$F$124)</x:f>
        <x:v>200</x:v>
      </x:c>
      <x:c r="H16" t="n">
        <x:f>1+SUMPRODUCT(--($C$5:$C$44&gt;C16))+SUMPRODUCT(--($C$5:$C$44=C16),--($D$5:$D$44&gt;D16))+SUMPRODUCT(--($C$5:$C$44=C16),--($D$5:$D$44=D16),--($E$5:$E$44&lt;E16))+SUMPRODUCT(--($C$5:$C$44=C16),--($D$5:$D$44=D16),--($E$5:$E$44=E16),--($F$5:$F$44&lt;F16))+SUMPRODUCT(--($C$5:$C$44=C16),--($D$5:$D$44=D16),--($E$5:$E$44=E16),--($F$5:$F$44=F16),--($G$5:$G$44&lt;G16))+SUMPRODUCT(--($C$5:$C$44=C16),--($D$5:$D$44=D16),--($E$5:$E$44=E16),--($F$5:$F$44=F16),--($G$5:$G$44=G16),--($A$5:$A$44&lt;A16))</x:f>
        <x:v>16</x:v>
      </x:c>
      <x:c r="I16" t="str">
        <x:f>IF(H16&lt;=5,"ACCESSO TURNO 2",IF(H16&lt;=30,"TURNO 1","ELIMINATO"))</x:f>
        <x:v>TURNO 1</x:v>
      </x:c>
      <x:c r="K16" t="n">
        <x:v>12</x:v>
      </x:c>
      <x:c r="L16" t="n">
        <x:f>INDEX($A$5:$A$44,MATCH(K16,$H$5:$H$44,0))</x:f>
        <x:v>11</x:v>
      </x:c>
      <x:c r="M16" t="str">
        <x:f>INDEX($B$5:$B$44,MATCH(K16,$H$5:$H$44,0))</x:f>
        <x:v>Moccia Biagio</x:v>
      </x:c>
      <x:c r="N16" t="n">
        <x:f>INDEX($C$5:$C$44,MATCH(K16,$H$5:$H$44,0))</x:f>
        <x:v>17</x:v>
      </x:c>
      <x:c r="O16" t="n">
        <x:f>INDEX($D$5:$D$44,MATCH(K16,$H$5:$H$44,0))</x:f>
        <x:v>0</x:v>
      </x:c>
      <x:c r="P16" t="n">
        <x:f>INDEX($E$5:$E$44,MATCH(K16,$H$5:$H$44,0))</x:f>
        <x:v>1</x:v>
      </x:c>
      <x:c r="Q16" t="n">
        <x:f>INDEX($F$5:$F$44,MATCH(K16,$H$5:$H$44,0))</x:f>
        <x:v>31</x:v>
      </x:c>
      <x:c r="R16" t="n">
        <x:f>INDEX($G$5:$G$44,MATCH(K16,$H$5:$H$44,0))</x:f>
        <x:v>146</x:v>
      </x:c>
      <x:c r="S16" t="str">
        <x:f>INDEX($I$5:$I$44,MATCH(K16,$H$5:$H$44,0))</x:f>
        <x:v>TURNO 1</x:v>
      </x:c>
    </x:row>
    <x:row r="17">
      <x:c r="A17" t="n">
        <x:v>13</x:v>
      </x:c>
      <x:c r="B17" t="str">
        <x:f>IFERROR(VLOOKUP(A17,Giocatori!$A$4:$B$48,2,FALSE),"")</x:f>
        <x:v>Corbo Alessandro</x:v>
      </x:c>
      <x:c r="C17" t="n">
        <x:f>SUMIF(Risultati_40!$D$5:$D$124,A17,Risultati_40!$I$5:$I$124)</x:f>
        <x:v>11</x:v>
      </x:c>
      <x:c r="D17" t="n">
        <x:f>SUMIF(Risultati_40!$D$5:$D$124,A17,Risultati_40!$H$5:$H$124)</x:f>
        <x:v>0</x:v>
      </x:c>
      <x:c r="E17" t="n">
        <x:f>MINIFS(Risultati_40!$G$5:$G$124,Risultati_40!$D$5:$D$124,A17)</x:f>
        <x:v>1</x:v>
      </x:c>
      <x:c r="F17" t="n">
        <x:f>MINIFS(Risultati_40!$F$5:$F$124,Risultati_40!$D$5:$D$124,A17)</x:f>
        <x:v>19</x:v>
      </x:c>
      <x:c r="G17" t="n">
        <x:f>SUMIF(Risultati_40!$D$5:$D$124,A17,Risultati_40!$F$5:$F$124)</x:f>
        <x:v>202</x:v>
      </x:c>
      <x:c r="H17" t="n">
        <x:f>1+SUMPRODUCT(--($C$5:$C$44&gt;C17))+SUMPRODUCT(--($C$5:$C$44=C17),--($D$5:$D$44&gt;D17))+SUMPRODUCT(--($C$5:$C$44=C17),--($D$5:$D$44=D17),--($E$5:$E$44&lt;E17))+SUMPRODUCT(--($C$5:$C$44=C17),--($D$5:$D$44=D17),--($E$5:$E$44=E17),--($F$5:$F$44&lt;F17))+SUMPRODUCT(--($C$5:$C$44=C17),--($D$5:$D$44=D17),--($E$5:$E$44=E17),--($F$5:$F$44=F17),--($G$5:$G$44&lt;G17))+SUMPRODUCT(--($C$5:$C$44=C17),--($D$5:$D$44=D17),--($E$5:$E$44=E17),--($F$5:$F$44=F17),--($G$5:$G$44=G17),--($A$5:$A$44&lt;A17))</x:f>
        <x:v>26</x:v>
      </x:c>
      <x:c r="I17" t="str">
        <x:f>IF(H17&lt;=5,"ACCESSO TURNO 2",IF(H17&lt;=30,"TURNO 1","ELIMINATO"))</x:f>
        <x:v>TURNO 1</x:v>
      </x:c>
      <x:c r="K17" t="n">
        <x:v>13</x:v>
      </x:c>
      <x:c r="L17" t="n">
        <x:f>INDEX($A$5:$A$44,MATCH(K17,$H$5:$H$44,0))</x:f>
        <x:v>23</x:v>
      </x:c>
      <x:c r="M17" t="str">
        <x:f>INDEX($B$5:$B$44,MATCH(K17,$H$5:$H$44,0))</x:f>
        <x:v>Amato Alessandro</x:v>
      </x:c>
      <x:c r="N17" t="n">
        <x:f>INDEX($C$5:$C$44,MATCH(K17,$H$5:$H$44,0))</x:f>
        <x:v>17</x:v>
      </x:c>
      <x:c r="O17" t="n">
        <x:f>INDEX($D$5:$D$44,MATCH(K17,$H$5:$H$44,0))</x:f>
        <x:v>0</x:v>
      </x:c>
      <x:c r="P17" t="n">
        <x:f>INDEX($E$5:$E$44,MATCH(K17,$H$5:$H$44,0))</x:f>
        <x:v>1</x:v>
      </x:c>
      <x:c r="Q17" t="n">
        <x:f>INDEX($F$5:$F$44,MATCH(K17,$H$5:$H$44,0))</x:f>
        <x:v>51</x:v>
      </x:c>
      <x:c r="R17" t="n">
        <x:f>INDEX($G$5:$G$44,MATCH(K17,$H$5:$H$44,0))</x:f>
        <x:v>178</x:v>
      </x:c>
      <x:c r="S17" t="str">
        <x:f>INDEX($I$5:$I$44,MATCH(K17,$H$5:$H$44,0))</x:f>
        <x:v>TURNO 1</x:v>
      </x:c>
    </x:row>
    <x:row r="18">
      <x:c r="A18" t="n">
        <x:v>14</x:v>
      </x:c>
      <x:c r="B18" t="str">
        <x:f>IFERROR(VLOOKUP(A18,Giocatori!$A$4:$B$48,2,FALSE),"")</x:f>
        <x:v>Botta Francesco</x:v>
      </x:c>
      <x:c r="C18" t="n">
        <x:f>SUMIF(Risultati_40!$D$5:$D$124,A18,Risultati_40!$I$5:$I$124)</x:f>
        <x:v>15</x:v>
      </x:c>
      <x:c r="D18" t="n">
        <x:f>SUMIF(Risultati_40!$D$5:$D$124,A18,Risultati_40!$H$5:$H$124)</x:f>
        <x:v>0</x:v>
      </x:c>
      <x:c r="E18" t="n">
        <x:f>MINIFS(Risultati_40!$G$5:$G$124,Risultati_40!$D$5:$D$124,A18)</x:f>
        <x:v>1</x:v>
      </x:c>
      <x:c r="F18" t="n">
        <x:f>MINIFS(Risultati_40!$F$5:$F$124,Risultati_40!$D$5:$D$124,A18)</x:f>
        <x:v>18</x:v>
      </x:c>
      <x:c r="G18" t="n">
        <x:f>SUMIF(Risultati_40!$D$5:$D$124,A18,Risultati_40!$F$5:$F$124)</x:f>
        <x:v>142</x:v>
      </x:c>
      <x:c r="H18" t="n">
        <x:f>1+SUMPRODUCT(--($C$5:$C$44&gt;C18))+SUMPRODUCT(--($C$5:$C$44=C18),--($D$5:$D$44&gt;D18))+SUMPRODUCT(--($C$5:$C$44=C18),--($D$5:$D$44=D18),--($E$5:$E$44&lt;E18))+SUMPRODUCT(--($C$5:$C$44=C18),--($D$5:$D$44=D18),--($E$5:$E$44=E18),--($F$5:$F$44&lt;F18))+SUMPRODUCT(--($C$5:$C$44=C18),--($D$5:$D$44=D18),--($E$5:$E$44=E18),--($F$5:$F$44=F18),--($G$5:$G$44&lt;G18))+SUMPRODUCT(--($C$5:$C$44=C18),--($D$5:$D$44=D18),--($E$5:$E$44=E18),--($F$5:$F$44=F18),--($G$5:$G$44=G18),--($A$5:$A$44&lt;A18))</x:f>
        <x:v>19</x:v>
      </x:c>
      <x:c r="I18" t="str">
        <x:f>IF(H18&lt;=5,"ACCESSO TURNO 2",IF(H18&lt;=30,"TURNO 1","ELIMINATO"))</x:f>
        <x:v>TURNO 1</x:v>
      </x:c>
      <x:c r="K18" t="n">
        <x:v>14</x:v>
      </x:c>
      <x:c r="L18" t="n">
        <x:f>INDEX($A$5:$A$44,MATCH(K18,$H$5:$H$44,0))</x:f>
        <x:v>28</x:v>
      </x:c>
      <x:c r="M18" t="str">
        <x:f>INDEX($B$5:$B$44,MATCH(K18,$H$5:$H$44,0))</x:f>
        <x:v>Ambrosino Raffaele</x:v>
      </x:c>
      <x:c r="N18" t="n">
        <x:f>INDEX($C$5:$C$44,MATCH(K18,$H$5:$H$44,0))</x:f>
        <x:v>16</x:v>
      </x:c>
      <x:c r="O18" t="n">
        <x:f>INDEX($D$5:$D$44,MATCH(K18,$H$5:$H$44,0))</x:f>
        <x:v>0</x:v>
      </x:c>
      <x:c r="P18" t="n">
        <x:f>INDEX($E$5:$E$44,MATCH(K18,$H$5:$H$44,0))</x:f>
        <x:v>1</x:v>
      </x:c>
      <x:c r="Q18" t="n">
        <x:f>INDEX($F$5:$F$44,MATCH(K18,$H$5:$H$44,0))</x:f>
        <x:v>16</x:v>
      </x:c>
      <x:c r="R18" t="n">
        <x:f>INDEX($G$5:$G$44,MATCH(K18,$H$5:$H$44,0))</x:f>
        <x:v>116</x:v>
      </x:c>
      <x:c r="S18" t="str">
        <x:f>INDEX($I$5:$I$44,MATCH(K18,$H$5:$H$44,0))</x:f>
        <x:v>TURNO 1</x:v>
      </x:c>
    </x:row>
    <x:row r="19">
      <x:c r="A19" t="n">
        <x:v>15</x:v>
      </x:c>
      <x:c r="B19" t="str">
        <x:f>IFERROR(VLOOKUP(A19,Giocatori!$A$4:$B$48,2,FALSE),"")</x:f>
        <x:v>Tufano Antonio</x:v>
      </x:c>
      <x:c r="C19" t="n">
        <x:f>SUMIF(Risultati_40!$D$5:$D$124,A19,Risultati_40!$I$5:$I$124)</x:f>
        <x:v>9</x:v>
      </x:c>
      <x:c r="D19" t="n">
        <x:f>SUMIF(Risultati_40!$D$5:$D$124,A19,Risultati_40!$H$5:$H$124)</x:f>
        <x:v>0</x:v>
      </x:c>
      <x:c r="E19" t="n">
        <x:f>MINIFS(Risultati_40!$G$5:$G$124,Risultati_40!$D$5:$D$124,A19)</x:f>
        <x:v>2</x:v>
      </x:c>
      <x:c r="F19" t="n">
        <x:f>MINIFS(Risultati_40!$F$5:$F$124,Risultati_40!$D$5:$D$124,A19)</x:f>
        <x:v>42</x:v>
      </x:c>
      <x:c r="G19" t="n">
        <x:f>SUMIF(Risultati_40!$D$5:$D$124,A19,Risultati_40!$F$5:$F$124)</x:f>
        <x:v>198</x:v>
      </x:c>
      <x:c r="H19" t="n">
        <x:f>1+SUMPRODUCT(--($C$5:$C$44&gt;C19))+SUMPRODUCT(--($C$5:$C$44=C19),--($D$5:$D$44&gt;D19))+SUMPRODUCT(--($C$5:$C$44=C19),--($D$5:$D$44=D19),--($E$5:$E$44&lt;E19))+SUMPRODUCT(--($C$5:$C$44=C19),--($D$5:$D$44=D19),--($E$5:$E$44=E19),--($F$5:$F$44&lt;F19))+SUMPRODUCT(--($C$5:$C$44=C19),--($D$5:$D$44=D19),--($E$5:$E$44=E19),--($F$5:$F$44=F19),--($G$5:$G$44&lt;G19))+SUMPRODUCT(--($C$5:$C$44=C19),--($D$5:$D$44=D19),--($E$5:$E$44=E19),--($F$5:$F$44=F19),--($G$5:$G$44=G19),--($A$5:$A$44&lt;A19))</x:f>
        <x:v>32</x:v>
      </x:c>
      <x:c r="I19" t="str">
        <x:f>IF(H19&lt;=5,"ACCESSO TURNO 2",IF(H19&lt;=30,"TURNO 1","ELIMINATO"))</x:f>
        <x:v>ELIMINATO</x:v>
      </x:c>
      <x:c r="K19" t="n">
        <x:v>15</x:v>
      </x:c>
      <x:c r="L19" t="n">
        <x:f>INDEX($A$5:$A$44,MATCH(K19,$H$5:$H$44,0))</x:f>
        <x:v>2</x:v>
      </x:c>
      <x:c r="M19" t="str">
        <x:f>INDEX($B$5:$B$44,MATCH(K19,$H$5:$H$44,0))</x:f>
        <x:v>Nicola Mauro</x:v>
      </x:c>
      <x:c r="N19" t="n">
        <x:f>INDEX($C$5:$C$44,MATCH(K19,$H$5:$H$44,0))</x:f>
        <x:v>16</x:v>
      </x:c>
      <x:c r="O19" t="n">
        <x:f>INDEX($D$5:$D$44,MATCH(K19,$H$5:$H$44,0))</x:f>
        <x:v>0</x:v>
      </x:c>
      <x:c r="P19" t="n">
        <x:f>INDEX($E$5:$E$44,MATCH(K19,$H$5:$H$44,0))</x:f>
        <x:v>1</x:v>
      </x:c>
      <x:c r="Q19" t="n">
        <x:f>INDEX($F$5:$F$44,MATCH(K19,$H$5:$H$44,0))</x:f>
        <x:v>35</x:v>
      </x:c>
      <x:c r="R19" t="n">
        <x:f>INDEX($G$5:$G$44,MATCH(K19,$H$5:$H$44,0))</x:f>
        <x:v>174</x:v>
      </x:c>
      <x:c r="S19" t="str">
        <x:f>INDEX($I$5:$I$44,MATCH(K19,$H$5:$H$44,0))</x:f>
        <x:v>TURNO 1</x:v>
      </x:c>
    </x:row>
    <x:row r="20">
      <x:c r="A20" t="n">
        <x:v>16</x:v>
      </x:c>
      <x:c r="B20" t="str">
        <x:f>IFERROR(VLOOKUP(A20,Giocatori!$A$4:$B$48,2,FALSE),"")</x:f>
        <x:v>Iorio Raffaele</x:v>
      </x:c>
      <x:c r="C20" t="n">
        <x:f>SUMIF(Risultati_40!$D$5:$D$124,A20,Risultati_40!$I$5:$I$124)</x:f>
        <x:v>21</x:v>
      </x:c>
      <x:c r="D20" t="n">
        <x:f>SUMIF(Risultati_40!$D$5:$D$124,A20,Risultati_40!$H$5:$H$124)</x:f>
        <x:v>0</x:v>
      </x:c>
      <x:c r="E20" t="n">
        <x:f>MINIFS(Risultati_40!$G$5:$G$124,Risultati_40!$D$5:$D$124,A20)</x:f>
        <x:v>1</x:v>
      </x:c>
      <x:c r="F20" t="n">
        <x:f>MINIFS(Risultati_40!$F$5:$F$124,Risultati_40!$D$5:$D$124,A20)</x:f>
        <x:v>24</x:v>
      </x:c>
      <x:c r="G20" t="n">
        <x:f>SUMIF(Risultati_40!$D$5:$D$124,A20,Risultati_40!$F$5:$F$124)</x:f>
        <x:v>128</x:v>
      </x:c>
      <x:c r="H20" t="n">
        <x:f>1+SUMPRODUCT(--($C$5:$C$44&gt;C20))+SUMPRODUCT(--($C$5:$C$44=C20),--($D$5:$D$44&gt;D20))+SUMPRODUCT(--($C$5:$C$44=C20),--($D$5:$D$44=D20),--($E$5:$E$44&lt;E20))+SUMPRODUCT(--($C$5:$C$44=C20),--($D$5:$D$44=D20),--($E$5:$E$44=E20),--($F$5:$F$44&lt;F20))+SUMPRODUCT(--($C$5:$C$44=C20),--($D$5:$D$44=D20),--($E$5:$E$44=E20),--($F$5:$F$44=F20),--($G$5:$G$44&lt;G20))+SUMPRODUCT(--($C$5:$C$44=C20),--($D$5:$D$44=D20),--($E$5:$E$44=E20),--($F$5:$F$44=F20),--($G$5:$G$44=G20),--($A$5:$A$44&lt;A20))</x:f>
        <x:v>4</x:v>
      </x:c>
      <x:c r="I20" t="str">
        <x:f>IF(H20&lt;=5,"ACCESSO TURNO 2",IF(H20&lt;=30,"TURNO 1","ELIMINATO"))</x:f>
        <x:v>ACCESSO TURNO 2</x:v>
      </x:c>
      <x:c r="K20" t="n">
        <x:v>16</x:v>
      </x:c>
      <x:c r="L20" t="n">
        <x:f>INDEX($A$5:$A$44,MATCH(K20,$H$5:$H$44,0))</x:f>
        <x:v>12</x:v>
      </x:c>
      <x:c r="M20" t="str">
        <x:f>INDEX($B$5:$B$44,MATCH(K20,$H$5:$H$44,0))</x:f>
        <x:v>De Falco Andrea</x:v>
      </x:c>
      <x:c r="N20" t="n">
        <x:f>INDEX($C$5:$C$44,MATCH(K20,$H$5:$H$44,0))</x:f>
        <x:v>16</x:v>
      </x:c>
      <x:c r="O20" t="n">
        <x:f>INDEX($D$5:$D$44,MATCH(K20,$H$5:$H$44,0))</x:f>
        <x:v>0</x:v>
      </x:c>
      <x:c r="P20" t="n">
        <x:f>INDEX($E$5:$E$44,MATCH(K20,$H$5:$H$44,0))</x:f>
        <x:v>1</x:v>
      </x:c>
      <x:c r="Q20" t="n">
        <x:f>INDEX($F$5:$F$44,MATCH(K20,$H$5:$H$44,0))</x:f>
        <x:v>38</x:v>
      </x:c>
      <x:c r="R20" t="n">
        <x:f>INDEX($G$5:$G$44,MATCH(K20,$H$5:$H$44,0))</x:f>
        <x:v>200</x:v>
      </x:c>
      <x:c r="S20" t="str">
        <x:f>INDEX($I$5:$I$44,MATCH(K20,$H$5:$H$44,0))</x:f>
        <x:v>TURNO 1</x:v>
      </x:c>
    </x:row>
    <x:row r="21">
      <x:c r="A21" t="n">
        <x:v>17</x:v>
      </x:c>
      <x:c r="B21" t="str">
        <x:f>IFERROR(VLOOKUP(A21,Giocatori!$A$4:$B$48,2,FALSE),"")</x:f>
        <x:v>Scogliamiglio Alfredo</x:v>
      </x:c>
      <x:c r="C21" t="n">
        <x:f>SUMIF(Risultati_40!$D$5:$D$124,A21,Risultati_40!$I$5:$I$124)</x:f>
        <x:v>11</x:v>
      </x:c>
      <x:c r="D21" t="n">
        <x:f>SUMIF(Risultati_40!$D$5:$D$124,A21,Risultati_40!$H$5:$H$124)</x:f>
        <x:v>0</x:v>
      </x:c>
      <x:c r="E21" t="n">
        <x:f>MINIFS(Risultati_40!$G$5:$G$124,Risultati_40!$D$5:$D$124,A21)</x:f>
        <x:v>2</x:v>
      </x:c>
      <x:c r="F21" t="n">
        <x:f>MINIFS(Risultati_40!$F$5:$F$124,Risultati_40!$D$5:$D$124,A21)</x:f>
        <x:v>23</x:v>
      </x:c>
      <x:c r="G21" t="n">
        <x:f>SUMIF(Risultati_40!$D$5:$D$124,A21,Risultati_40!$F$5:$F$124)</x:f>
        <x:v>174</x:v>
      </x:c>
      <x:c r="H21" t="n">
        <x:f>1+SUMPRODUCT(--($C$5:$C$44&gt;C21))+SUMPRODUCT(--($C$5:$C$44=C21),--($D$5:$D$44&gt;D21))+SUMPRODUCT(--($C$5:$C$44=C21),--($D$5:$D$44=D21),--($E$5:$E$44&lt;E21))+SUMPRODUCT(--($C$5:$C$44=C21),--($D$5:$D$44=D21),--($E$5:$E$44=E21),--($F$5:$F$44&lt;F21))+SUMPRODUCT(--($C$5:$C$44=C21),--($D$5:$D$44=D21),--($E$5:$E$44=E21),--($F$5:$F$44=F21),--($G$5:$G$44&lt;G21))+SUMPRODUCT(--($C$5:$C$44=C21),--($D$5:$D$44=D21),--($E$5:$E$44=E21),--($F$5:$F$44=F21),--($G$5:$G$44=G21),--($A$5:$A$44&lt;A21))</x:f>
        <x:v>28</x:v>
      </x:c>
      <x:c r="I21" t="str">
        <x:f>IF(H21&lt;=5,"ACCESSO TURNO 2",IF(H21&lt;=30,"TURNO 1","ELIMINATO"))</x:f>
        <x:v>TURNO 1</x:v>
      </x:c>
      <x:c r="K21" t="n">
        <x:v>17</x:v>
      </x:c>
      <x:c r="L21" t="n">
        <x:f>INDEX($A$5:$A$44,MATCH(K21,$H$5:$H$44,0))</x:f>
        <x:v>6</x:v>
      </x:c>
      <x:c r="M21" t="str">
        <x:f>INDEX($B$5:$B$44,MATCH(K21,$H$5:$H$44,0))</x:f>
        <x:v>Sommese Antonio</x:v>
      </x:c>
      <x:c r="N21" t="n">
        <x:f>INDEX($C$5:$C$44,MATCH(K21,$H$5:$H$44,0))</x:f>
        <x:v>16</x:v>
      </x:c>
      <x:c r="O21" t="n">
        <x:f>INDEX($D$5:$D$44,MATCH(K21,$H$5:$H$44,0))</x:f>
        <x:v>0</x:v>
      </x:c>
      <x:c r="P21" t="n">
        <x:f>INDEX($E$5:$E$44,MATCH(K21,$H$5:$H$44,0))</x:f>
        <x:v>2</x:v>
      </x:c>
      <x:c r="Q21" t="n">
        <x:f>INDEX($F$5:$F$44,MATCH(K21,$H$5:$H$44,0))</x:f>
        <x:v>38</x:v>
      </x:c>
      <x:c r="R21" t="n">
        <x:f>INDEX($G$5:$G$44,MATCH(K21,$H$5:$H$44,0))</x:f>
        <x:v>148</x:v>
      </x:c>
      <x:c r="S21" t="str">
        <x:f>INDEX($I$5:$I$44,MATCH(K21,$H$5:$H$44,0))</x:f>
        <x:v>TURNO 1</x:v>
      </x:c>
    </x:row>
    <x:row r="22">
      <x:c r="A22" t="n">
        <x:v>18</x:v>
      </x:c>
      <x:c r="B22" t="str">
        <x:f>IFERROR(VLOOKUP(A22,Giocatori!$A$4:$B$48,2,FALSE),"")</x:f>
        <x:v>Cafarelli Manolo</x:v>
      </x:c>
      <x:c r="C22" t="n">
        <x:f>SUMIF(Risultati_40!$D$5:$D$124,A22,Risultati_40!$I$5:$I$124)</x:f>
        <x:v>3</x:v>
      </x:c>
      <x:c r="D22" t="n">
        <x:f>SUMIF(Risultati_40!$D$5:$D$124,A22,Risultati_40!$H$5:$H$124)</x:f>
        <x:v>0</x:v>
      </x:c>
      <x:c r="E22" t="n">
        <x:f>MINIFS(Risultati_40!$G$5:$G$124,Risultati_40!$D$5:$D$124,A22)</x:f>
        <x:v>5</x:v>
      </x:c>
      <x:c r="F22" t="n">
        <x:f>MINIFS(Risultati_40!$F$5:$F$124,Risultati_40!$D$5:$D$124,A22)</x:f>
        <x:v>81</x:v>
      </x:c>
      <x:c r="G22" t="n">
        <x:f>SUMIF(Risultati_40!$D$5:$D$124,A22,Risultati_40!$F$5:$F$124)</x:f>
        <x:v>260</x:v>
      </x:c>
      <x:c r="H22" t="n">
        <x:f>1+SUMPRODUCT(--($C$5:$C$44&gt;C22))+SUMPRODUCT(--($C$5:$C$44=C22),--($D$5:$D$44&gt;D22))+SUMPRODUCT(--($C$5:$C$44=C22),--($D$5:$D$44=D22),--($E$5:$E$44&lt;E22))+SUMPRODUCT(--($C$5:$C$44=C22),--($D$5:$D$44=D22),--($E$5:$E$44=E22),--($F$5:$F$44&lt;F22))+SUMPRODUCT(--($C$5:$C$44=C22),--($D$5:$D$44=D22),--($E$5:$E$44=E22),--($F$5:$F$44=F22),--($G$5:$G$44&lt;G22))+SUMPRODUCT(--($C$5:$C$44=C22),--($D$5:$D$44=D22),--($E$5:$E$44=E22),--($F$5:$F$44=F22),--($G$5:$G$44=G22),--($A$5:$A$44&lt;A22))</x:f>
        <x:v>40</x:v>
      </x:c>
      <x:c r="I22" t="str">
        <x:f>IF(H22&lt;=5,"ACCESSO TURNO 2",IF(H22&lt;=30,"TURNO 1","ELIMINATO"))</x:f>
        <x:v>ELIMINATO</x:v>
      </x:c>
      <x:c r="K22" t="n">
        <x:v>18</x:v>
      </x:c>
      <x:c r="L22" t="n">
        <x:f>INDEX($A$5:$A$44,MATCH(K22,$H$5:$H$44,0))</x:f>
        <x:v>35</x:v>
      </x:c>
      <x:c r="M22" t="str">
        <x:f>INDEX($B$5:$B$44,MATCH(K22,$H$5:$H$44,0))</x:f>
        <x:v>Napolitano Raffaele</x:v>
      </x:c>
      <x:c r="N22" t="n">
        <x:f>INDEX($C$5:$C$44,MATCH(K22,$H$5:$H$44,0))</x:f>
        <x:v>15</x:v>
      </x:c>
      <x:c r="O22" t="n">
        <x:f>INDEX($D$5:$D$44,MATCH(K22,$H$5:$H$44,0))</x:f>
        <x:v>1</x:v>
      </x:c>
      <x:c r="P22" t="n">
        <x:f>INDEX($E$5:$E$44,MATCH(K22,$H$5:$H$44,0))</x:f>
        <x:v>1</x:v>
      </x:c>
      <x:c r="Q22" t="n">
        <x:f>INDEX($F$5:$F$44,MATCH(K22,$H$5:$H$44,0))</x:f>
        <x:v>28</x:v>
      </x:c>
      <x:c r="R22" t="n">
        <x:f>INDEX($G$5:$G$44,MATCH(K22,$H$5:$H$44,0))</x:f>
        <x:v>156</x:v>
      </x:c>
      <x:c r="S22" t="str">
        <x:f>INDEX($I$5:$I$44,MATCH(K22,$H$5:$H$44,0))</x:f>
        <x:v>TURNO 1</x:v>
      </x:c>
    </x:row>
    <x:row r="23">
      <x:c r="A23" t="n">
        <x:v>19</x:v>
      </x:c>
      <x:c r="B23" t="str">
        <x:f>IFERROR(VLOOKUP(A23,Giocatori!$A$4:$B$48,2,FALSE),"")</x:f>
        <x:v>Fuschillo Franco</x:v>
      </x:c>
      <x:c r="C23" t="n">
        <x:f>SUMIF(Risultati_40!$D$5:$D$124,A23,Risultati_40!$I$5:$I$124)</x:f>
        <x:v>26</x:v>
      </x:c>
      <x:c r="D23" t="n">
        <x:f>SUMIF(Risultati_40!$D$5:$D$124,A23,Risultati_40!$H$5:$H$124)</x:f>
        <x:v>2.5</x:v>
      </x:c>
      <x:c r="E23" t="n">
        <x:f>MINIFS(Risultati_40!$G$5:$G$124,Risultati_40!$D$5:$D$124,A23)</x:f>
        <x:v>1</x:v>
      </x:c>
      <x:c r="F23" t="n">
        <x:f>MINIFS(Risultati_40!$F$5:$F$124,Risultati_40!$D$5:$D$124,A23)</x:f>
        <x:v>18</x:v>
      </x:c>
      <x:c r="G23" t="n">
        <x:f>SUMIF(Risultati_40!$D$5:$D$124,A23,Risultati_40!$F$5:$F$124)</x:f>
        <x:v>131</x:v>
      </x:c>
      <x:c r="H23" t="n">
        <x:f>1+SUMPRODUCT(--($C$5:$C$44&gt;C23))+SUMPRODUCT(--($C$5:$C$44=C23),--($D$5:$D$44&gt;D23))+SUMPRODUCT(--($C$5:$C$44=C23),--($D$5:$D$44=D23),--($E$5:$E$44&lt;E23))+SUMPRODUCT(--($C$5:$C$44=C23),--($D$5:$D$44=D23),--($E$5:$E$44=E23),--($F$5:$F$44&lt;F23))+SUMPRODUCT(--($C$5:$C$44=C23),--($D$5:$D$44=D23),--($E$5:$E$44=E23),--($F$5:$F$44=F23),--($G$5:$G$44&lt;G23))+SUMPRODUCT(--($C$5:$C$44=C23),--($D$5:$D$44=D23),--($E$5:$E$44=E23),--($F$5:$F$44=F23),--($G$5:$G$44=G23),--($A$5:$A$44&lt;A23))</x:f>
        <x:v>1</x:v>
      </x:c>
      <x:c r="I23" t="str">
        <x:f>IF(H23&lt;=5,"ACCESSO TURNO 2",IF(H23&lt;=30,"TURNO 1","ELIMINATO"))</x:f>
        <x:v>ACCESSO TURNO 2</x:v>
      </x:c>
      <x:c r="K23" t="n">
        <x:v>19</x:v>
      </x:c>
      <x:c r="L23" t="n">
        <x:f>INDEX($A$5:$A$44,MATCH(K23,$H$5:$H$44,0))</x:f>
        <x:v>14</x:v>
      </x:c>
      <x:c r="M23" t="str">
        <x:f>INDEX($B$5:$B$44,MATCH(K23,$H$5:$H$44,0))</x:f>
        <x:v>Botta Francesco</x:v>
      </x:c>
      <x:c r="N23" t="n">
        <x:f>INDEX($C$5:$C$44,MATCH(K23,$H$5:$H$44,0))</x:f>
        <x:v>15</x:v>
      </x:c>
      <x:c r="O23" t="n">
        <x:f>INDEX($D$5:$D$44,MATCH(K23,$H$5:$H$44,0))</x:f>
        <x:v>0</x:v>
      </x:c>
      <x:c r="P23" t="n">
        <x:f>INDEX($E$5:$E$44,MATCH(K23,$H$5:$H$44,0))</x:f>
        <x:v>1</x:v>
      </x:c>
      <x:c r="Q23" t="n">
        <x:f>INDEX($F$5:$F$44,MATCH(K23,$H$5:$H$44,0))</x:f>
        <x:v>18</x:v>
      </x:c>
      <x:c r="R23" t="n">
        <x:f>INDEX($G$5:$G$44,MATCH(K23,$H$5:$H$44,0))</x:f>
        <x:v>142</x:v>
      </x:c>
      <x:c r="S23" t="str">
        <x:f>INDEX($I$5:$I$44,MATCH(K23,$H$5:$H$44,0))</x:f>
        <x:v>TURNO 1</x:v>
      </x:c>
    </x:row>
    <x:row r="24">
      <x:c r="A24" t="n">
        <x:v>20</x:v>
      </x:c>
      <x:c r="B24" t="str">
        <x:f>IFERROR(VLOOKUP(A24,Giocatori!$A$4:$B$48,2,FALSE),"")</x:f>
        <x:v>Di Grazia Salvatore</x:v>
      </x:c>
      <x:c r="C24" t="n">
        <x:f>SUMIF(Risultati_40!$D$5:$D$124,A24,Risultati_40!$I$5:$I$124)</x:f>
        <x:v>5</x:v>
      </x:c>
      <x:c r="D24" t="n">
        <x:f>SUMIF(Risultati_40!$D$5:$D$124,A24,Risultati_40!$H$5:$H$124)</x:f>
        <x:v>0</x:v>
      </x:c>
      <x:c r="E24" t="n">
        <x:f>MINIFS(Risultati_40!$G$5:$G$124,Risultati_40!$D$5:$D$124,A24)</x:f>
        <x:v>4</x:v>
      </x:c>
      <x:c r="F24" t="n">
        <x:f>MINIFS(Risultati_40!$F$5:$F$124,Risultati_40!$D$5:$D$124,A24)</x:f>
        <x:v>33</x:v>
      </x:c>
      <x:c r="G24" t="n">
        <x:f>SUMIF(Risultati_40!$D$5:$D$124,A24,Risultati_40!$F$5:$F$124)</x:f>
        <x:v>193</x:v>
      </x:c>
      <x:c r="H24" t="n">
        <x:f>1+SUMPRODUCT(--($C$5:$C$44&gt;C24))+SUMPRODUCT(--($C$5:$C$44=C24),--($D$5:$D$44&gt;D24))+SUMPRODUCT(--($C$5:$C$44=C24),--($D$5:$D$44=D24),--($E$5:$E$44&lt;E24))+SUMPRODUCT(--($C$5:$C$44=C24),--($D$5:$D$44=D24),--($E$5:$E$44=E24),--($F$5:$F$44&lt;F24))+SUMPRODUCT(--($C$5:$C$44=C24),--($D$5:$D$44=D24),--($E$5:$E$44=E24),--($F$5:$F$44=F24),--($G$5:$G$44&lt;G24))+SUMPRODUCT(--($C$5:$C$44=C24),--($D$5:$D$44=D24),--($E$5:$E$44=E24),--($F$5:$F$44=F24),--($G$5:$G$44=G24),--($A$5:$A$44&lt;A24))</x:f>
        <x:v>36</x:v>
      </x:c>
      <x:c r="I24" t="str">
        <x:f>IF(H24&lt;=5,"ACCESSO TURNO 2",IF(H24&lt;=30,"TURNO 1","ELIMINATO"))</x:f>
        <x:v>ELIMINATO</x:v>
      </x:c>
      <x:c r="K24" t="n">
        <x:v>20</x:v>
      </x:c>
      <x:c r="L24" t="n">
        <x:f>INDEX($A$5:$A$44,MATCH(K24,$H$5:$H$44,0))</x:f>
        <x:v>33</x:v>
      </x:c>
      <x:c r="M24" t="str">
        <x:f>INDEX($B$5:$B$44,MATCH(K24,$H$5:$H$44,0))</x:f>
        <x:v>Nappi Nestore</x:v>
      </x:c>
      <x:c r="N24" t="n">
        <x:f>INDEX($C$5:$C$44,MATCH(K24,$H$5:$H$44,0))</x:f>
        <x:v>15</x:v>
      </x:c>
      <x:c r="O24" t="n">
        <x:f>INDEX($D$5:$D$44,MATCH(K24,$H$5:$H$44,0))</x:f>
        <x:v>0</x:v>
      </x:c>
      <x:c r="P24" t="n">
        <x:f>INDEX($E$5:$E$44,MATCH(K24,$H$5:$H$44,0))</x:f>
        <x:v>1</x:v>
      </x:c>
      <x:c r="Q24" t="n">
        <x:f>INDEX($F$5:$F$44,MATCH(K24,$H$5:$H$44,0))</x:f>
        <x:v>20</x:v>
      </x:c>
      <x:c r="R24" t="n">
        <x:f>INDEX($G$5:$G$44,MATCH(K24,$H$5:$H$44,0))</x:f>
        <x:v>140</x:v>
      </x:c>
      <x:c r="S24" t="str">
        <x:f>INDEX($I$5:$I$44,MATCH(K24,$H$5:$H$44,0))</x:f>
        <x:v>TURNO 1</x:v>
      </x:c>
    </x:row>
    <x:row r="25">
      <x:c r="A25" t="n">
        <x:v>21</x:v>
      </x:c>
      <x:c r="B25" t="str">
        <x:f>IFERROR(VLOOKUP(A25,Giocatori!$A$4:$B$48,2,FALSE),"")</x:f>
        <x:v>Mauro Candice</x:v>
      </x:c>
      <x:c r="C25" t="n">
        <x:f>SUMIF(Risultati_40!$D$5:$D$124,A25,Risultati_40!$I$5:$I$124)</x:f>
        <x:v>5</x:v>
      </x:c>
      <x:c r="D25" t="n">
        <x:f>SUMIF(Risultati_40!$D$5:$D$124,A25,Risultati_40!$H$5:$H$124)</x:f>
        <x:v>0</x:v>
      </x:c>
      <x:c r="E25" t="n">
        <x:f>MINIFS(Risultati_40!$G$5:$G$124,Risultati_40!$D$5:$D$124,A25)</x:f>
        <x:v>4</x:v>
      </x:c>
      <x:c r="F25" t="n">
        <x:f>MINIFS(Risultati_40!$F$5:$F$124,Risultati_40!$D$5:$D$124,A25)</x:f>
        <x:v>75</x:v>
      </x:c>
      <x:c r="G25" t="n">
        <x:f>SUMIF(Risultati_40!$D$5:$D$124,A25,Risultati_40!$F$5:$F$124)</x:f>
        <x:v>242</x:v>
      </x:c>
      <x:c r="H25" t="n">
        <x:f>1+SUMPRODUCT(--($C$5:$C$44&gt;C25))+SUMPRODUCT(--($C$5:$C$44=C25),--($D$5:$D$44&gt;D25))+SUMPRODUCT(--($C$5:$C$44=C25),--($D$5:$D$44=D25),--($E$5:$E$44&lt;E25))+SUMPRODUCT(--($C$5:$C$44=C25),--($D$5:$D$44=D25),--($E$5:$E$44=E25),--($F$5:$F$44&lt;F25))+SUMPRODUCT(--($C$5:$C$44=C25),--($D$5:$D$44=D25),--($E$5:$E$44=E25),--($F$5:$F$44=F25),--($G$5:$G$44&lt;G25))+SUMPRODUCT(--($C$5:$C$44=C25),--($D$5:$D$44=D25),--($E$5:$E$44=E25),--($F$5:$F$44=F25),--($G$5:$G$44=G25),--($A$5:$A$44&lt;A25))</x:f>
        <x:v>38</x:v>
      </x:c>
      <x:c r="I25" t="str">
        <x:f>IF(H25&lt;=5,"ACCESSO TURNO 2",IF(H25&lt;=30,"TURNO 1","ELIMINATO"))</x:f>
        <x:v>ELIMINATO</x:v>
      </x:c>
      <x:c r="K25" t="n">
        <x:v>21</x:v>
      </x:c>
      <x:c r="L25" t="n">
        <x:f>INDEX($A$5:$A$44,MATCH(K25,$H$5:$H$44,0))</x:f>
        <x:v>9</x:v>
      </x:c>
      <x:c r="M25" t="str">
        <x:f>INDEX($B$5:$B$44,MATCH(K25,$H$5:$H$44,0))</x:f>
        <x:v>Atria Gregorio</x:v>
      </x:c>
      <x:c r="N25" t="n">
        <x:f>INDEX($C$5:$C$44,MATCH(K25,$H$5:$H$44,0))</x:f>
        <x:v>14</x:v>
      </x:c>
      <x:c r="O25" t="n">
        <x:f>INDEX($D$5:$D$44,MATCH(K25,$H$5:$H$44,0))</x:f>
        <x:v>0</x:v>
      </x:c>
      <x:c r="P25" t="n">
        <x:f>INDEX($E$5:$E$44,MATCH(K25,$H$5:$H$44,0))</x:f>
        <x:v>1</x:v>
      </x:c>
      <x:c r="Q25" t="n">
        <x:f>INDEX($F$5:$F$44,MATCH(K25,$H$5:$H$44,0))</x:f>
        <x:v>50</x:v>
      </x:c>
      <x:c r="R25" t="n">
        <x:f>INDEX($G$5:$G$44,MATCH(K25,$H$5:$H$44,0))</x:f>
        <x:v>192</x:v>
      </x:c>
      <x:c r="S25" t="str">
        <x:f>INDEX($I$5:$I$44,MATCH(K25,$H$5:$H$44,0))</x:f>
        <x:v>TURNO 1</x:v>
      </x:c>
    </x:row>
    <x:row r="26">
      <x:c r="A26" t="n">
        <x:v>22</x:v>
      </x:c>
      <x:c r="B26" t="str">
        <x:f>IFERROR(VLOOKUP(A26,Giocatori!$A$4:$B$48,2,FALSE),"")</x:f>
        <x:v>Michele Zappone</x:v>
      </x:c>
      <x:c r="C26" t="n">
        <x:f>SUMIF(Risultati_40!$D$5:$D$124,A26,Risultati_40!$I$5:$I$124)</x:f>
        <x:v>11</x:v>
      </x:c>
      <x:c r="D26" t="n">
        <x:f>SUMIF(Risultati_40!$D$5:$D$124,A26,Risultati_40!$H$5:$H$124)</x:f>
        <x:v>0</x:v>
      </x:c>
      <x:c r="E26" t="n">
        <x:f>MINIFS(Risultati_40!$G$5:$G$124,Risultati_40!$D$5:$D$124,A26)</x:f>
        <x:v>1</x:v>
      </x:c>
      <x:c r="F26" t="n">
        <x:f>MINIFS(Risultati_40!$F$5:$F$124,Risultati_40!$D$5:$D$124,A26)</x:f>
        <x:v>27</x:v>
      </x:c>
      <x:c r="G26" t="n">
        <x:f>SUMIF(Risultati_40!$D$5:$D$124,A26,Risultati_40!$F$5:$F$124)</x:f>
        <x:v>189</x:v>
      </x:c>
      <x:c r="H26" t="n">
        <x:f>1+SUMPRODUCT(--($C$5:$C$44&gt;C26))+SUMPRODUCT(--($C$5:$C$44=C26),--($D$5:$D$44&gt;D26))+SUMPRODUCT(--($C$5:$C$44=C26),--($D$5:$D$44=D26),--($E$5:$E$44&lt;E26))+SUMPRODUCT(--($C$5:$C$44=C26),--($D$5:$D$44=D26),--($E$5:$E$44=E26),--($F$5:$F$44&lt;F26))+SUMPRODUCT(--($C$5:$C$44=C26),--($D$5:$D$44=D26),--($E$5:$E$44=E26),--($F$5:$F$44=F26),--($G$5:$G$44&lt;G26))+SUMPRODUCT(--($C$5:$C$44=C26),--($D$5:$D$44=D26),--($E$5:$E$44=E26),--($F$5:$F$44=F26),--($G$5:$G$44=G26),--($A$5:$A$44&lt;A26))</x:f>
        <x:v>27</x:v>
      </x:c>
      <x:c r="I26" t="str">
        <x:f>IF(H26&lt;=5,"ACCESSO TURNO 2",IF(H26&lt;=30,"TURNO 1","ELIMINATO"))</x:f>
        <x:v>TURNO 1</x:v>
      </x:c>
      <x:c r="K26" t="n">
        <x:v>22</x:v>
      </x:c>
      <x:c r="L26" t="n">
        <x:f>INDEX($A$5:$A$44,MATCH(K26,$H$5:$H$44,0))</x:f>
        <x:v>32</x:v>
      </x:c>
      <x:c r="M26" t="str">
        <x:f>INDEX($B$5:$B$44,MATCH(K26,$H$5:$H$44,0))</x:f>
        <x:v>Notaro Giacomo</x:v>
      </x:c>
      <x:c r="N26" t="n">
        <x:f>INDEX($C$5:$C$44,MATCH(K26,$H$5:$H$44,0))</x:f>
        <x:v>14</x:v>
      </x:c>
      <x:c r="O26" t="n">
        <x:f>INDEX($D$5:$D$44,MATCH(K26,$H$5:$H$44,0))</x:f>
        <x:v>0</x:v>
      </x:c>
      <x:c r="P26" t="n">
        <x:f>INDEX($E$5:$E$44,MATCH(K26,$H$5:$H$44,0))</x:f>
        <x:v>2</x:v>
      </x:c>
      <x:c r="Q26" t="n">
        <x:f>INDEX($F$5:$F$44,MATCH(K26,$H$5:$H$44,0))</x:f>
        <x:v>43</x:v>
      </x:c>
      <x:c r="R26" t="n">
        <x:f>INDEX($G$5:$G$44,MATCH(K26,$H$5:$H$44,0))</x:f>
        <x:v>174</x:v>
      </x:c>
      <x:c r="S26" t="str">
        <x:f>INDEX($I$5:$I$44,MATCH(K26,$H$5:$H$44,0))</x:f>
        <x:v>TURNO 1</x:v>
      </x:c>
    </x:row>
    <x:row r="27">
      <x:c r="A27" t="n">
        <x:v>23</x:v>
      </x:c>
      <x:c r="B27" t="str">
        <x:f>IFERROR(VLOOKUP(A27,Giocatori!$A$4:$B$48,2,FALSE),"")</x:f>
        <x:v>Amato Alessandro</x:v>
      </x:c>
      <x:c r="C27" t="n">
        <x:f>SUMIF(Risultati_40!$D$5:$D$124,A27,Risultati_40!$I$5:$I$124)</x:f>
        <x:v>17</x:v>
      </x:c>
      <x:c r="D27" t="n">
        <x:f>SUMIF(Risultati_40!$D$5:$D$124,A27,Risultati_40!$H$5:$H$124)</x:f>
        <x:v>0</x:v>
      </x:c>
      <x:c r="E27" t="n">
        <x:f>MINIFS(Risultati_40!$G$5:$G$124,Risultati_40!$D$5:$D$124,A27)</x:f>
        <x:v>1</x:v>
      </x:c>
      <x:c r="F27" t="n">
        <x:f>MINIFS(Risultati_40!$F$5:$F$124,Risultati_40!$D$5:$D$124,A27)</x:f>
        <x:v>51</x:v>
      </x:c>
      <x:c r="G27" t="n">
        <x:f>SUMIF(Risultati_40!$D$5:$D$124,A27,Risultati_40!$F$5:$F$124)</x:f>
        <x:v>178</x:v>
      </x:c>
      <x:c r="H27" t="n">
        <x:f>1+SUMPRODUCT(--($C$5:$C$44&gt;C27))+SUMPRODUCT(--($C$5:$C$44=C27),--($D$5:$D$44&gt;D27))+SUMPRODUCT(--($C$5:$C$44=C27),--($D$5:$D$44=D27),--($E$5:$E$44&lt;E27))+SUMPRODUCT(--($C$5:$C$44=C27),--($D$5:$D$44=D27),--($E$5:$E$44=E27),--($F$5:$F$44&lt;F27))+SUMPRODUCT(--($C$5:$C$44=C27),--($D$5:$D$44=D27),--($E$5:$E$44=E27),--($F$5:$F$44=F27),--($G$5:$G$44&lt;G27))+SUMPRODUCT(--($C$5:$C$44=C27),--($D$5:$D$44=D27),--($E$5:$E$44=E27),--($F$5:$F$44=F27),--($G$5:$G$44=G27),--($A$5:$A$44&lt;A27))</x:f>
        <x:v>13</x:v>
      </x:c>
      <x:c r="I27" t="str">
        <x:f>IF(H27&lt;=5,"ACCESSO TURNO 2",IF(H27&lt;=30,"TURNO 1","ELIMINATO"))</x:f>
        <x:v>TURNO 1</x:v>
      </x:c>
      <x:c r="K27" t="n">
        <x:v>23</x:v>
      </x:c>
      <x:c r="L27" t="n">
        <x:f>INDEX($A$5:$A$44,MATCH(K27,$H$5:$H$44,0))</x:f>
        <x:v>4</x:v>
      </x:c>
      <x:c r="M27" t="str">
        <x:f>INDEX($B$5:$B$44,MATCH(K27,$H$5:$H$44,0))</x:f>
        <x:v>Annunziata Michele</x:v>
      </x:c>
      <x:c r="N27" t="n">
        <x:f>INDEX($C$5:$C$44,MATCH(K27,$H$5:$H$44,0))</x:f>
        <x:v>14</x:v>
      </x:c>
      <x:c r="O27" t="n">
        <x:f>INDEX($D$5:$D$44,MATCH(K27,$H$5:$H$44,0))</x:f>
        <x:v>0</x:v>
      </x:c>
      <x:c r="P27" t="n">
        <x:f>INDEX($E$5:$E$44,MATCH(K27,$H$5:$H$44,0))</x:f>
        <x:v>2</x:v>
      </x:c>
      <x:c r="Q27" t="n">
        <x:f>INDEX($F$5:$F$44,MATCH(K27,$H$5:$H$44,0))</x:f>
        <x:v>50</x:v>
      </x:c>
      <x:c r="R27" t="n">
        <x:f>INDEX($G$5:$G$44,MATCH(K27,$H$5:$H$44,0))</x:f>
        <x:v>191</x:v>
      </x:c>
      <x:c r="S27" t="str">
        <x:f>INDEX($I$5:$I$44,MATCH(K27,$H$5:$H$44,0))</x:f>
        <x:v>TURNO 1</x:v>
      </x:c>
    </x:row>
    <x:row r="28">
      <x:c r="A28" t="n">
        <x:v>24</x:v>
      </x:c>
      <x:c r="B28" t="str">
        <x:f>IFERROR(VLOOKUP(A28,Giocatori!$A$4:$B$48,2,FALSE),"")</x:f>
        <x:v>Napolitano Pasquale</x:v>
      </x:c>
      <x:c r="C28" t="n">
        <x:f>SUMIF(Risultati_40!$D$5:$D$124,A28,Risultati_40!$I$5:$I$124)</x:f>
        <x:v>22</x:v>
      </x:c>
      <x:c r="D28" t="n">
        <x:f>SUMIF(Risultati_40!$D$5:$D$124,A28,Risultati_40!$H$5:$H$124)</x:f>
        <x:v>0</x:v>
      </x:c>
      <x:c r="E28" t="n">
        <x:f>MINIFS(Risultati_40!$G$5:$G$124,Risultati_40!$D$5:$D$124,A28)</x:f>
        <x:v>1</x:v>
      </x:c>
      <x:c r="F28" t="n">
        <x:f>MINIFS(Risultati_40!$F$5:$F$124,Risultati_40!$D$5:$D$124,A28)</x:f>
        <x:v>15</x:v>
      </x:c>
      <x:c r="G28" t="n">
        <x:f>SUMIF(Risultati_40!$D$5:$D$124,A28,Risultati_40!$F$5:$F$124)</x:f>
        <x:v>122</x:v>
      </x:c>
      <x:c r="H28" t="n">
        <x:f>1+SUMPRODUCT(--($C$5:$C$44&gt;C28))+SUMPRODUCT(--($C$5:$C$44=C28),--($D$5:$D$44&gt;D28))+SUMPRODUCT(--($C$5:$C$44=C28),--($D$5:$D$44=D28),--($E$5:$E$44&lt;E28))+SUMPRODUCT(--($C$5:$C$44=C28),--($D$5:$D$44=D28),--($E$5:$E$44=E28),--($F$5:$F$44&lt;F28))+SUMPRODUCT(--($C$5:$C$44=C28),--($D$5:$D$44=D28),--($E$5:$E$44=E28),--($F$5:$F$44=F28),--($G$5:$G$44&lt;G28))+SUMPRODUCT(--($C$5:$C$44=C28),--($D$5:$D$44=D28),--($E$5:$E$44=E28),--($F$5:$F$44=F28),--($G$5:$G$44=G28),--($A$5:$A$44&lt;A28))</x:f>
        <x:v>3</x:v>
      </x:c>
      <x:c r="I28" t="str">
        <x:f>IF(H28&lt;=5,"ACCESSO TURNO 2",IF(H28&lt;=30,"TURNO 1","ELIMINATO"))</x:f>
        <x:v>ACCESSO TURNO 2</x:v>
      </x:c>
      <x:c r="K28" t="n">
        <x:v>24</x:v>
      </x:c>
      <x:c r="L28" t="n">
        <x:f>INDEX($A$5:$A$44,MATCH(K28,$H$5:$H$44,0))</x:f>
        <x:v>3</x:v>
      </x:c>
      <x:c r="M28" t="str">
        <x:f>INDEX($B$5:$B$44,MATCH(K28,$H$5:$H$44,0))</x:f>
        <x:v>Beracci Lucio</x:v>
      </x:c>
      <x:c r="N28" t="n">
        <x:f>INDEX($C$5:$C$44,MATCH(K28,$H$5:$H$44,0))</x:f>
        <x:v>13</x:v>
      </x:c>
      <x:c r="O28" t="n">
        <x:f>INDEX($D$5:$D$44,MATCH(K28,$H$5:$H$44,0))</x:f>
        <x:v>1</x:v>
      </x:c>
      <x:c r="P28" t="n">
        <x:f>INDEX($E$5:$E$44,MATCH(K28,$H$5:$H$44,0))</x:f>
        <x:v>2</x:v>
      </x:c>
      <x:c r="Q28" t="n">
        <x:f>INDEX($F$5:$F$44,MATCH(K28,$H$5:$H$44,0))</x:f>
        <x:v>27</x:v>
      </x:c>
      <x:c r="R28" t="n">
        <x:f>INDEX($G$5:$G$44,MATCH(K28,$H$5:$H$44,0))</x:f>
        <x:v>148</x:v>
      </x:c>
      <x:c r="S28" t="str">
        <x:f>INDEX($I$5:$I$44,MATCH(K28,$H$5:$H$44,0))</x:f>
        <x:v>TURNO 1</x:v>
      </x:c>
    </x:row>
    <x:row r="29">
      <x:c r="A29" t="n">
        <x:v>25</x:v>
      </x:c>
      <x:c r="B29" t="str">
        <x:f>IFERROR(VLOOKUP(A29,Giocatori!$A$4:$B$48,2,FALSE),"")</x:f>
        <x:v>Fontanella Giuseppe</x:v>
      </x:c>
      <x:c r="C29" t="n">
        <x:f>SUMIF(Risultati_40!$D$5:$D$124,A29,Risultati_40!$I$5:$I$124)</x:f>
        <x:v>10</x:v>
      </x:c>
      <x:c r="D29" t="n">
        <x:f>SUMIF(Risultati_40!$D$5:$D$124,A29,Risultati_40!$H$5:$H$124)</x:f>
        <x:v>0</x:v>
      </x:c>
      <x:c r="E29" t="n">
        <x:f>MINIFS(Risultati_40!$G$5:$G$124,Risultati_40!$D$5:$D$124,A29)</x:f>
        <x:v>2</x:v>
      </x:c>
      <x:c r="F29" t="n">
        <x:f>MINIFS(Risultati_40!$F$5:$F$124,Risultati_40!$D$5:$D$124,A29)</x:f>
        <x:v>47</x:v>
      </x:c>
      <x:c r="G29" t="n">
        <x:f>SUMIF(Risultati_40!$D$5:$D$124,A29,Risultati_40!$F$5:$F$124)</x:f>
        <x:v>174</x:v>
      </x:c>
      <x:c r="H29" t="n">
        <x:f>1+SUMPRODUCT(--($C$5:$C$44&gt;C29))+SUMPRODUCT(--($C$5:$C$44=C29),--($D$5:$D$44&gt;D29))+SUMPRODUCT(--($C$5:$C$44=C29),--($D$5:$D$44=D29),--($E$5:$E$44&lt;E29))+SUMPRODUCT(--($C$5:$C$44=C29),--($D$5:$D$44=D29),--($E$5:$E$44=E29),--($F$5:$F$44&lt;F29))+SUMPRODUCT(--($C$5:$C$44=C29),--($D$5:$D$44=D29),--($E$5:$E$44=E29),--($F$5:$F$44=F29),--($G$5:$G$44&lt;G29))+SUMPRODUCT(--($C$5:$C$44=C29),--($D$5:$D$44=D29),--($E$5:$E$44=E29),--($F$5:$F$44=F29),--($G$5:$G$44=G29),--($A$5:$A$44&lt;A29))</x:f>
        <x:v>30</x:v>
      </x:c>
      <x:c r="I29" t="str">
        <x:f>IF(H29&lt;=5,"ACCESSO TURNO 2",IF(H29&lt;=30,"TURNO 1","ELIMINATO"))</x:f>
        <x:v>TURNO 1</x:v>
      </x:c>
      <x:c r="K29" t="n">
        <x:v>25</x:v>
      </x:c>
      <x:c r="L29" t="n">
        <x:f>INDEX($A$5:$A$44,MATCH(K29,$H$5:$H$44,0))</x:f>
        <x:v>34</x:v>
      </x:c>
      <x:c r="M29" t="str">
        <x:f>INDEX($B$5:$B$44,MATCH(K29,$H$5:$H$44,0))</x:f>
        <x:v>Pasquale Marotta</x:v>
      </x:c>
      <x:c r="N29" t="n">
        <x:f>INDEX($C$5:$C$44,MATCH(K29,$H$5:$H$44,0))</x:f>
        <x:v>12</x:v>
      </x:c>
      <x:c r="O29" t="n">
        <x:f>INDEX($D$5:$D$44,MATCH(K29,$H$5:$H$44,0))</x:f>
        <x:v>0</x:v>
      </x:c>
      <x:c r="P29" t="n">
        <x:f>INDEX($E$5:$E$44,MATCH(K29,$H$5:$H$44,0))</x:f>
        <x:v>1</x:v>
      </x:c>
      <x:c r="Q29" t="n">
        <x:f>INDEX($F$5:$F$44,MATCH(K29,$H$5:$H$44,0))</x:f>
        <x:v>25</x:v>
      </x:c>
      <x:c r="R29" t="n">
        <x:f>INDEX($G$5:$G$44,MATCH(K29,$H$5:$H$44,0))</x:f>
        <x:v>168</x:v>
      </x:c>
      <x:c r="S29" t="str">
        <x:f>INDEX($I$5:$I$44,MATCH(K29,$H$5:$H$44,0))</x:f>
        <x:v>TURNO 1</x:v>
      </x:c>
    </x:row>
    <x:row r="30">
      <x:c r="A30" t="n">
        <x:v>26</x:v>
      </x:c>
      <x:c r="B30" t="str">
        <x:f>IFERROR(VLOOKUP(A30,Giocatori!$A$4:$B$48,2,FALSE),"")</x:f>
        <x:v>La Marca Franco</x:v>
      </x:c>
      <x:c r="C30" t="n">
        <x:f>SUMIF(Risultati_40!$D$5:$D$124,A30,Risultati_40!$I$5:$I$124)</x:f>
        <x:v>24</x:v>
      </x:c>
      <x:c r="D30" t="n">
        <x:f>SUMIF(Risultati_40!$D$5:$D$124,A30,Risultati_40!$H$5:$H$124)</x:f>
        <x:v>0</x:v>
      </x:c>
      <x:c r="E30" t="n">
        <x:f>MINIFS(Risultati_40!$G$5:$G$124,Risultati_40!$D$5:$D$124,A30)</x:f>
        <x:v>1</x:v>
      </x:c>
      <x:c r="F30" t="n">
        <x:f>MINIFS(Risultati_40!$F$5:$F$124,Risultati_40!$D$5:$D$124,A30)</x:f>
        <x:v>28</x:v>
      </x:c>
      <x:c r="G30" t="n">
        <x:f>SUMIF(Risultati_40!$D$5:$D$124,A30,Risultati_40!$F$5:$F$124)</x:f>
        <x:v>109</x:v>
      </x:c>
      <x:c r="H30" t="n">
        <x:f>1+SUMPRODUCT(--($C$5:$C$44&gt;C30))+SUMPRODUCT(--($C$5:$C$44=C30),--($D$5:$D$44&gt;D30))+SUMPRODUCT(--($C$5:$C$44=C30),--($D$5:$D$44=D30),--($E$5:$E$44&lt;E30))+SUMPRODUCT(--($C$5:$C$44=C30),--($D$5:$D$44=D30),--($E$5:$E$44=E30),--($F$5:$F$44&lt;F30))+SUMPRODUCT(--($C$5:$C$44=C30),--($D$5:$D$44=D30),--($E$5:$E$44=E30),--($F$5:$F$44=F30),--($G$5:$G$44&lt;G30))+SUMPRODUCT(--($C$5:$C$44=C30),--($D$5:$D$44=D30),--($E$5:$E$44=E30),--($F$5:$F$44=F30),--($G$5:$G$44=G30),--($A$5:$A$44&lt;A30))</x:f>
        <x:v>2</x:v>
      </x:c>
      <x:c r="I30" t="str">
        <x:f>IF(H30&lt;=5,"ACCESSO TURNO 2",IF(H30&lt;=30,"TURNO 1","ELIMINATO"))</x:f>
        <x:v>ACCESSO TURNO 2</x:v>
      </x:c>
      <x:c r="K30" t="n">
        <x:v>26</x:v>
      </x:c>
      <x:c r="L30" t="n">
        <x:f>INDEX($A$5:$A$44,MATCH(K30,$H$5:$H$44,0))</x:f>
        <x:v>13</x:v>
      </x:c>
      <x:c r="M30" t="str">
        <x:f>INDEX($B$5:$B$44,MATCH(K30,$H$5:$H$44,0))</x:f>
        <x:v>Corbo Alessandro</x:v>
      </x:c>
      <x:c r="N30" t="n">
        <x:f>INDEX($C$5:$C$44,MATCH(K30,$H$5:$H$44,0))</x:f>
        <x:v>11</x:v>
      </x:c>
      <x:c r="O30" t="n">
        <x:f>INDEX($D$5:$D$44,MATCH(K30,$H$5:$H$44,0))</x:f>
        <x:v>0</x:v>
      </x:c>
      <x:c r="P30" t="n">
        <x:f>INDEX($E$5:$E$44,MATCH(K30,$H$5:$H$44,0))</x:f>
        <x:v>1</x:v>
      </x:c>
      <x:c r="Q30" t="n">
        <x:f>INDEX($F$5:$F$44,MATCH(K30,$H$5:$H$44,0))</x:f>
        <x:v>19</x:v>
      </x:c>
      <x:c r="R30" t="n">
        <x:f>INDEX($G$5:$G$44,MATCH(K30,$H$5:$H$44,0))</x:f>
        <x:v>202</x:v>
      </x:c>
      <x:c r="S30" t="str">
        <x:f>INDEX($I$5:$I$44,MATCH(K30,$H$5:$H$44,0))</x:f>
        <x:v>TURNO 1</x:v>
      </x:c>
    </x:row>
    <x:row r="31">
      <x:c r="A31" t="n">
        <x:v>27</x:v>
      </x:c>
      <x:c r="B31" t="str">
        <x:f>IFERROR(VLOOKUP(A31,Giocatori!$A$4:$B$48,2,FALSE),"")</x:f>
        <x:v>Tufano Michele</x:v>
      </x:c>
      <x:c r="C31" t="n">
        <x:f>SUMIF(Risultati_40!$D$5:$D$124,A31,Risultati_40!$I$5:$I$124)</x:f>
        <x:v>6</x:v>
      </x:c>
      <x:c r="D31" t="n">
        <x:f>SUMIF(Risultati_40!$D$5:$D$124,A31,Risultati_40!$H$5:$H$124)</x:f>
        <x:v>0</x:v>
      </x:c>
      <x:c r="E31" t="n">
        <x:f>MINIFS(Risultati_40!$G$5:$G$124,Risultati_40!$D$5:$D$124,A31)</x:f>
        <x:v>4</x:v>
      </x:c>
      <x:c r="F31" t="n">
        <x:f>MINIFS(Risultati_40!$F$5:$F$124,Risultati_40!$D$5:$D$124,A31)</x:f>
        <x:v>52</x:v>
      </x:c>
      <x:c r="G31" t="n">
        <x:f>SUMIF(Risultati_40!$D$5:$D$124,A31,Risultati_40!$F$5:$F$124)</x:f>
        <x:v>192</x:v>
      </x:c>
      <x:c r="H31" t="n">
        <x:f>1+SUMPRODUCT(--($C$5:$C$44&gt;C31))+SUMPRODUCT(--($C$5:$C$44=C31),--($D$5:$D$44&gt;D31))+SUMPRODUCT(--($C$5:$C$44=C31),--($D$5:$D$44=D31),--($E$5:$E$44&lt;E31))+SUMPRODUCT(--($C$5:$C$44=C31),--($D$5:$D$44=D31),--($E$5:$E$44=E31),--($F$5:$F$44&lt;F31))+SUMPRODUCT(--($C$5:$C$44=C31),--($D$5:$D$44=D31),--($E$5:$E$44=E31),--($F$5:$F$44=F31),--($G$5:$G$44&lt;G31))+SUMPRODUCT(--($C$5:$C$44=C31),--($D$5:$D$44=D31),--($E$5:$E$44=E31),--($F$5:$F$44=F31),--($G$5:$G$44=G31),--($A$5:$A$44&lt;A31))</x:f>
        <x:v>35</x:v>
      </x:c>
      <x:c r="I31" t="str">
        <x:f>IF(H31&lt;=5,"ACCESSO TURNO 2",IF(H31&lt;=30,"TURNO 1","ELIMINATO"))</x:f>
        <x:v>ELIMINATO</x:v>
      </x:c>
      <x:c r="K31" t="n">
        <x:v>27</x:v>
      </x:c>
      <x:c r="L31" t="n">
        <x:f>INDEX($A$5:$A$44,MATCH(K31,$H$5:$H$44,0))</x:f>
        <x:v>22</x:v>
      </x:c>
      <x:c r="M31" t="str">
        <x:f>INDEX($B$5:$B$44,MATCH(K31,$H$5:$H$44,0))</x:f>
        <x:v>Michele Zappone</x:v>
      </x:c>
      <x:c r="N31" t="n">
        <x:f>INDEX($C$5:$C$44,MATCH(K31,$H$5:$H$44,0))</x:f>
        <x:v>11</x:v>
      </x:c>
      <x:c r="O31" t="n">
        <x:f>INDEX($D$5:$D$44,MATCH(K31,$H$5:$H$44,0))</x:f>
        <x:v>0</x:v>
      </x:c>
      <x:c r="P31" t="n">
        <x:f>INDEX($E$5:$E$44,MATCH(K31,$H$5:$H$44,0))</x:f>
        <x:v>1</x:v>
      </x:c>
      <x:c r="Q31" t="n">
        <x:f>INDEX($F$5:$F$44,MATCH(K31,$H$5:$H$44,0))</x:f>
        <x:v>27</x:v>
      </x:c>
      <x:c r="R31" t="n">
        <x:f>INDEX($G$5:$G$44,MATCH(K31,$H$5:$H$44,0))</x:f>
        <x:v>189</x:v>
      </x:c>
      <x:c r="S31" t="str">
        <x:f>INDEX($I$5:$I$44,MATCH(K31,$H$5:$H$44,0))</x:f>
        <x:v>TURNO 1</x:v>
      </x:c>
    </x:row>
    <x:row r="32">
      <x:c r="A32" t="n">
        <x:v>28</x:v>
      </x:c>
      <x:c r="B32" t="str">
        <x:f>IFERROR(VLOOKUP(A32,Giocatori!$A$4:$B$48,2,FALSE),"")</x:f>
        <x:v>Ambrosino Raffaele</x:v>
      </x:c>
      <x:c r="C32" t="n">
        <x:f>SUMIF(Risultati_40!$D$5:$D$124,A32,Risultati_40!$I$5:$I$124)</x:f>
        <x:v>16</x:v>
      </x:c>
      <x:c r="D32" t="n">
        <x:f>SUMIF(Risultati_40!$D$5:$D$124,A32,Risultati_40!$H$5:$H$124)</x:f>
        <x:v>0</x:v>
      </x:c>
      <x:c r="E32" t="n">
        <x:f>MINIFS(Risultati_40!$G$5:$G$124,Risultati_40!$D$5:$D$124,A32)</x:f>
        <x:v>1</x:v>
      </x:c>
      <x:c r="F32" t="n">
        <x:f>MINIFS(Risultati_40!$F$5:$F$124,Risultati_40!$D$5:$D$124,A32)</x:f>
        <x:v>16</x:v>
      </x:c>
      <x:c r="G32" t="n">
        <x:f>SUMIF(Risultati_40!$D$5:$D$124,A32,Risultati_40!$F$5:$F$124)</x:f>
        <x:v>116</x:v>
      </x:c>
      <x:c r="H32" t="n">
        <x:f>1+SUMPRODUCT(--($C$5:$C$44&gt;C32))+SUMPRODUCT(--($C$5:$C$44=C32),--($D$5:$D$44&gt;D32))+SUMPRODUCT(--($C$5:$C$44=C32),--($D$5:$D$44=D32),--($E$5:$E$44&lt;E32))+SUMPRODUCT(--($C$5:$C$44=C32),--($D$5:$D$44=D32),--($E$5:$E$44=E32),--($F$5:$F$44&lt;F32))+SUMPRODUCT(--($C$5:$C$44=C32),--($D$5:$D$44=D32),--($E$5:$E$44=E32),--($F$5:$F$44=F32),--($G$5:$G$44&lt;G32))+SUMPRODUCT(--($C$5:$C$44=C32),--($D$5:$D$44=D32),--($E$5:$E$44=E32),--($F$5:$F$44=F32),--($G$5:$G$44=G32),--($A$5:$A$44&lt;A32))</x:f>
        <x:v>14</x:v>
      </x:c>
      <x:c r="I32" t="str">
        <x:f>IF(H32&lt;=5,"ACCESSO TURNO 2",IF(H32&lt;=30,"TURNO 1","ELIMINATO"))</x:f>
        <x:v>TURNO 1</x:v>
      </x:c>
      <x:c r="K32" t="n">
        <x:v>28</x:v>
      </x:c>
      <x:c r="L32" t="n">
        <x:f>INDEX($A$5:$A$44,MATCH(K32,$H$5:$H$44,0))</x:f>
        <x:v>17</x:v>
      </x:c>
      <x:c r="M32" t="str">
        <x:f>INDEX($B$5:$B$44,MATCH(K32,$H$5:$H$44,0))</x:f>
        <x:v>Scogliamiglio Alfredo</x:v>
      </x:c>
      <x:c r="N32" t="n">
        <x:f>INDEX($C$5:$C$44,MATCH(K32,$H$5:$H$44,0))</x:f>
        <x:v>11</x:v>
      </x:c>
      <x:c r="O32" t="n">
        <x:f>INDEX($D$5:$D$44,MATCH(K32,$H$5:$H$44,0))</x:f>
        <x:v>0</x:v>
      </x:c>
      <x:c r="P32" t="n">
        <x:f>INDEX($E$5:$E$44,MATCH(K32,$H$5:$H$44,0))</x:f>
        <x:v>2</x:v>
      </x:c>
      <x:c r="Q32" t="n">
        <x:f>INDEX($F$5:$F$44,MATCH(K32,$H$5:$H$44,0))</x:f>
        <x:v>23</x:v>
      </x:c>
      <x:c r="R32" t="n">
        <x:f>INDEX($G$5:$G$44,MATCH(K32,$H$5:$H$44,0))</x:f>
        <x:v>174</x:v>
      </x:c>
      <x:c r="S32" t="str">
        <x:f>INDEX($I$5:$I$44,MATCH(K32,$H$5:$H$44,0))</x:f>
        <x:v>TURNO 1</x:v>
      </x:c>
    </x:row>
    <x:row r="33">
      <x:c r="A33" t="n">
        <x:v>29</x:v>
      </x:c>
      <x:c r="B33" t="str">
        <x:f>IFERROR(VLOOKUP(A33,Giocatori!$A$4:$B$48,2,FALSE),"")</x:f>
        <x:v>Tufano Giovanni</x:v>
      </x:c>
      <x:c r="C33" t="n">
        <x:f>SUMIF(Risultati_40!$D$5:$D$124,A33,Risultati_40!$I$5:$I$124)</x:f>
        <x:v>20</x:v>
      </x:c>
      <x:c r="D33" t="n">
        <x:f>SUMIF(Risultati_40!$D$5:$D$124,A33,Risultati_40!$H$5:$H$124)</x:f>
        <x:v>1</x:v>
      </x:c>
      <x:c r="E33" t="n">
        <x:f>MINIFS(Risultati_40!$G$5:$G$124,Risultati_40!$D$5:$D$124,A33)</x:f>
        <x:v>2</x:v>
      </x:c>
      <x:c r="F33" t="n">
        <x:f>MINIFS(Risultati_40!$F$5:$F$124,Risultati_40!$D$5:$D$124,A33)</x:f>
        <x:v>30</x:v>
      </x:c>
      <x:c r="G33" t="n">
        <x:f>SUMIF(Risultati_40!$D$5:$D$124,A33,Risultati_40!$F$5:$F$124)</x:f>
        <x:v>113</x:v>
      </x:c>
      <x:c r="H33" t="n">
        <x:f>1+SUMPRODUCT(--($C$5:$C$44&gt;C33))+SUMPRODUCT(--($C$5:$C$44=C33),--($D$5:$D$44&gt;D33))+SUMPRODUCT(--($C$5:$C$44=C33),--($D$5:$D$44=D33),--($E$5:$E$44&lt;E33))+SUMPRODUCT(--($C$5:$C$44=C33),--($D$5:$D$44=D33),--($E$5:$E$44=E33),--($F$5:$F$44&lt;F33))+SUMPRODUCT(--($C$5:$C$44=C33),--($D$5:$D$44=D33),--($E$5:$E$44=E33),--($F$5:$F$44=F33),--($G$5:$G$44&lt;G33))+SUMPRODUCT(--($C$5:$C$44=C33),--($D$5:$D$44=D33),--($E$5:$E$44=E33),--($F$5:$F$44=F33),--($G$5:$G$44=G33),--($A$5:$A$44&lt;A33))</x:f>
        <x:v>5</x:v>
      </x:c>
      <x:c r="I33" t="str">
        <x:f>IF(H33&lt;=5,"ACCESSO TURNO 2",IF(H33&lt;=30,"TURNO 1","ELIMINATO"))</x:f>
        <x:v>ACCESSO TURNO 2</x:v>
      </x:c>
      <x:c r="K33" t="n">
        <x:v>29</x:v>
      </x:c>
      <x:c r="L33" t="n">
        <x:f>INDEX($A$5:$A$44,MATCH(K33,$H$5:$H$44,0))</x:f>
        <x:v>38</x:v>
      </x:c>
      <x:c r="M33" t="str">
        <x:f>INDEX($B$5:$B$44,MATCH(K33,$H$5:$H$44,0))</x:f>
        <x:v>Giuseppe Pierro</x:v>
      </x:c>
      <x:c r="N33" t="n">
        <x:f>INDEX($C$5:$C$44,MATCH(K33,$H$5:$H$44,0))</x:f>
        <x:v>11</x:v>
      </x:c>
      <x:c r="O33" t="n">
        <x:f>INDEX($D$5:$D$44,MATCH(K33,$H$5:$H$44,0))</x:f>
        <x:v>0</x:v>
      </x:c>
      <x:c r="P33" t="n">
        <x:f>INDEX($E$5:$E$44,MATCH(K33,$H$5:$H$44,0))</x:f>
        <x:v>2</x:v>
      </x:c>
      <x:c r="Q33" t="n">
        <x:f>INDEX($F$5:$F$44,MATCH(K33,$H$5:$H$44,0))</x:f>
        <x:v>33</x:v>
      </x:c>
      <x:c r="R33" t="n">
        <x:f>INDEX($G$5:$G$44,MATCH(K33,$H$5:$H$44,0))</x:f>
        <x:v>168</x:v>
      </x:c>
      <x:c r="S33" t="str">
        <x:f>INDEX($I$5:$I$44,MATCH(K33,$H$5:$H$44,0))</x:f>
        <x:v>TURNO 1</x:v>
      </x:c>
    </x:row>
    <x:row r="34">
      <x:c r="A34" t="n">
        <x:v>30</x:v>
      </x:c>
      <x:c r="B34" t="str">
        <x:f>IFERROR(VLOOKUP(A34,Giocatori!$A$4:$B$48,2,FALSE),"")</x:f>
        <x:v>Mauro Raffaele</x:v>
      </x:c>
      <x:c r="C34" t="n">
        <x:f>SUMIF(Risultati_40!$D$5:$D$124,A34,Risultati_40!$I$5:$I$124)</x:f>
        <x:v>17</x:v>
      </x:c>
      <x:c r="D34" t="n">
        <x:f>SUMIF(Risultati_40!$D$5:$D$124,A34,Risultati_40!$H$5:$H$124)</x:f>
        <x:v>1</x:v>
      </x:c>
      <x:c r="E34" t="n">
        <x:f>MINIFS(Risultati_40!$G$5:$G$124,Risultati_40!$D$5:$D$124,A34)</x:f>
        <x:v>1</x:v>
      </x:c>
      <x:c r="F34" t="n">
        <x:f>MINIFS(Risultati_40!$F$5:$F$124,Risultati_40!$D$5:$D$124,A34)</x:f>
        <x:v>33</x:v>
      </x:c>
      <x:c r="G34" t="n">
        <x:f>SUMIF(Risultati_40!$D$5:$D$124,A34,Risultati_40!$F$5:$F$124)</x:f>
        <x:v>140</x:v>
      </x:c>
      <x:c r="H34" t="n">
        <x:f>1+SUMPRODUCT(--($C$5:$C$44&gt;C34))+SUMPRODUCT(--($C$5:$C$44=C34),--($D$5:$D$44&gt;D34))+SUMPRODUCT(--($C$5:$C$44=C34),--($D$5:$D$44=D34),--($E$5:$E$44&lt;E34))+SUMPRODUCT(--($C$5:$C$44=C34),--($D$5:$D$44=D34),--($E$5:$E$44=E34),--($F$5:$F$44&lt;F34))+SUMPRODUCT(--($C$5:$C$44=C34),--($D$5:$D$44=D34),--($E$5:$E$44=E34),--($F$5:$F$44=F34),--($G$5:$G$44&lt;G34))+SUMPRODUCT(--($C$5:$C$44=C34),--($D$5:$D$44=D34),--($E$5:$E$44=E34),--($F$5:$F$44=F34),--($G$5:$G$44=G34),--($A$5:$A$44&lt;A34))</x:f>
        <x:v>8</x:v>
      </x:c>
      <x:c r="I34" t="str">
        <x:f>IF(H34&lt;=5,"ACCESSO TURNO 2",IF(H34&lt;=30,"TURNO 1","ELIMINATO"))</x:f>
        <x:v>TURNO 1</x:v>
      </x:c>
      <x:c r="K34" t="n">
        <x:v>30</x:v>
      </x:c>
      <x:c r="L34" t="n">
        <x:f>INDEX($A$5:$A$44,MATCH(K34,$H$5:$H$44,0))</x:f>
        <x:v>25</x:v>
      </x:c>
      <x:c r="M34" t="str">
        <x:f>INDEX($B$5:$B$44,MATCH(K34,$H$5:$H$44,0))</x:f>
        <x:v>Fontanella Giuseppe</x:v>
      </x:c>
      <x:c r="N34" t="n">
        <x:f>INDEX($C$5:$C$44,MATCH(K34,$H$5:$H$44,0))</x:f>
        <x:v>10</x:v>
      </x:c>
      <x:c r="O34" t="n">
        <x:f>INDEX($D$5:$D$44,MATCH(K34,$H$5:$H$44,0))</x:f>
        <x:v>0</x:v>
      </x:c>
      <x:c r="P34" t="n">
        <x:f>INDEX($E$5:$E$44,MATCH(K34,$H$5:$H$44,0))</x:f>
        <x:v>2</x:v>
      </x:c>
      <x:c r="Q34" t="n">
        <x:f>INDEX($F$5:$F$44,MATCH(K34,$H$5:$H$44,0))</x:f>
        <x:v>47</x:v>
      </x:c>
      <x:c r="R34" t="n">
        <x:f>INDEX($G$5:$G$44,MATCH(K34,$H$5:$H$44,0))</x:f>
        <x:v>174</x:v>
      </x:c>
      <x:c r="S34" t="str">
        <x:f>INDEX($I$5:$I$44,MATCH(K34,$H$5:$H$44,0))</x:f>
        <x:v>TURNO 1</x:v>
      </x:c>
    </x:row>
    <x:row r="35">
      <x:c r="A35" t="n">
        <x:v>31</x:v>
      </x:c>
      <x:c r="B35" t="str">
        <x:f>IFERROR(VLOOKUP(A35,Giocatori!$A$4:$B$48,2,FALSE),"")</x:f>
        <x:v>Anna Angiero</x:v>
      </x:c>
      <x:c r="C35" t="n">
        <x:f>SUMIF(Risultati_40!$D$5:$D$124,A35,Risultati_40!$I$5:$I$124)</x:f>
        <x:v>19</x:v>
      </x:c>
      <x:c r="D35" t="n">
        <x:f>SUMIF(Risultati_40!$D$5:$D$124,A35,Risultati_40!$H$5:$H$124)</x:f>
        <x:v>0</x:v>
      </x:c>
      <x:c r="E35" t="n">
        <x:f>MINIFS(Risultati_40!$G$5:$G$124,Risultati_40!$D$5:$D$124,A35)</x:f>
        <x:v>1</x:v>
      </x:c>
      <x:c r="F35" t="n">
        <x:f>MINIFS(Risultati_40!$F$5:$F$124,Risultati_40!$D$5:$D$124,A35)</x:f>
        <x:v>8</x:v>
      </x:c>
      <x:c r="G35" t="n">
        <x:f>SUMIF(Risultati_40!$D$5:$D$124,A35,Risultati_40!$F$5:$F$124)</x:f>
        <x:v>129</x:v>
      </x:c>
      <x:c r="H35" t="n">
        <x:f>1+SUMPRODUCT(--($C$5:$C$44&gt;C35))+SUMPRODUCT(--($C$5:$C$44=C35),--($D$5:$D$44&gt;D35))+SUMPRODUCT(--($C$5:$C$44=C35),--($D$5:$D$44=D35),--($E$5:$E$44&lt;E35))+SUMPRODUCT(--($C$5:$C$44=C35),--($D$5:$D$44=D35),--($E$5:$E$44=E35),--($F$5:$F$44&lt;F35))+SUMPRODUCT(--($C$5:$C$44=C35),--($D$5:$D$44=D35),--($E$5:$E$44=E35),--($F$5:$F$44=F35),--($G$5:$G$44&lt;G35))+SUMPRODUCT(--($C$5:$C$44=C35),--($D$5:$D$44=D35),--($E$5:$E$44=E35),--($F$5:$F$44=F35),--($G$5:$G$44=G35),--($A$5:$A$44&lt;A35))</x:f>
        <x:v>7</x:v>
      </x:c>
      <x:c r="I35" t="str">
        <x:f>IF(H35&lt;=5,"ACCESSO TURNO 2",IF(H35&lt;=30,"TURNO 1","ELIMINATO"))</x:f>
        <x:v>TURNO 1</x:v>
      </x:c>
      <x:c r="K35" t="n">
        <x:v>31</x:v>
      </x:c>
      <x:c r="L35" t="n">
        <x:f>INDEX($A$5:$A$44,MATCH(K35,$H$5:$H$44,0))</x:f>
        <x:v>40</x:v>
      </x:c>
      <x:c r="M35" t="str">
        <x:f>INDEX($B$5:$B$44,MATCH(K35,$H$5:$H$44,0))</x:f>
        <x:v>Ambrosino Michele</x:v>
      </x:c>
      <x:c r="N35" t="n">
        <x:f>INDEX($C$5:$C$44,MATCH(K35,$H$5:$H$44,0))</x:f>
        <x:v>9</x:v>
      </x:c>
      <x:c r="O35" t="n">
        <x:f>INDEX($D$5:$D$44,MATCH(K35,$H$5:$H$44,0))</x:f>
        <x:v>0</x:v>
      </x:c>
      <x:c r="P35" t="n">
        <x:f>INDEX($E$5:$E$44,MATCH(K35,$H$5:$H$44,0))</x:f>
        <x:v>2</x:v>
      </x:c>
      <x:c r="Q35" t="n">
        <x:f>INDEX($F$5:$F$44,MATCH(K35,$H$5:$H$44,0))</x:f>
        <x:v>31</x:v>
      </x:c>
      <x:c r="R35" t="n">
        <x:f>INDEX($G$5:$G$44,MATCH(K35,$H$5:$H$44,0))</x:f>
        <x:v>183</x:v>
      </x:c>
      <x:c r="S35" t="str">
        <x:f>INDEX($I$5:$I$44,MATCH(K35,$H$5:$H$44,0))</x:f>
        <x:v>ELIMINATO</x:v>
      </x:c>
    </x:row>
    <x:row r="36">
      <x:c r="A36" t="n">
        <x:v>32</x:v>
      </x:c>
      <x:c r="B36" t="str">
        <x:f>IFERROR(VLOOKUP(A36,Giocatori!$A$4:$B$48,2,FALSE),"")</x:f>
        <x:v>Notaro Giacomo</x:v>
      </x:c>
      <x:c r="C36" t="n">
        <x:f>SUMIF(Risultati_40!$D$5:$D$124,A36,Risultati_40!$I$5:$I$124)</x:f>
        <x:v>14</x:v>
      </x:c>
      <x:c r="D36" t="n">
        <x:f>SUMIF(Risultati_40!$D$5:$D$124,A36,Risultati_40!$H$5:$H$124)</x:f>
        <x:v>0</x:v>
      </x:c>
      <x:c r="E36" t="n">
        <x:f>MINIFS(Risultati_40!$G$5:$G$124,Risultati_40!$D$5:$D$124,A36)</x:f>
        <x:v>2</x:v>
      </x:c>
      <x:c r="F36" t="n">
        <x:f>MINIFS(Risultati_40!$F$5:$F$124,Risultati_40!$D$5:$D$124,A36)</x:f>
        <x:v>43</x:v>
      </x:c>
      <x:c r="G36" t="n">
        <x:f>SUMIF(Risultati_40!$D$5:$D$124,A36,Risultati_40!$F$5:$F$124)</x:f>
        <x:v>174</x:v>
      </x:c>
      <x:c r="H36" t="n">
        <x:f>1+SUMPRODUCT(--($C$5:$C$44&gt;C36))+SUMPRODUCT(--($C$5:$C$44=C36),--($D$5:$D$44&gt;D36))+SUMPRODUCT(--($C$5:$C$44=C36),--($D$5:$D$44=D36),--($E$5:$E$44&lt;E36))+SUMPRODUCT(--($C$5:$C$44=C36),--($D$5:$D$44=D36),--($E$5:$E$44=E36),--($F$5:$F$44&lt;F36))+SUMPRODUCT(--($C$5:$C$44=C36),--($D$5:$D$44=D36),--($E$5:$E$44=E36),--($F$5:$F$44=F36),--($G$5:$G$44&lt;G36))+SUMPRODUCT(--($C$5:$C$44=C36),--($D$5:$D$44=D36),--($E$5:$E$44=E36),--($F$5:$F$44=F36),--($G$5:$G$44=G36),--($A$5:$A$44&lt;A36))</x:f>
        <x:v>22</x:v>
      </x:c>
      <x:c r="I36" t="str">
        <x:f>IF(H36&lt;=5,"ACCESSO TURNO 2",IF(H36&lt;=30,"TURNO 1","ELIMINATO"))</x:f>
        <x:v>TURNO 1</x:v>
      </x:c>
      <x:c r="K36" t="n">
        <x:v>32</x:v>
      </x:c>
      <x:c r="L36" t="n">
        <x:f>INDEX($A$5:$A$44,MATCH(K36,$H$5:$H$44,0))</x:f>
        <x:v>15</x:v>
      </x:c>
      <x:c r="M36" t="str">
        <x:f>INDEX($B$5:$B$44,MATCH(K36,$H$5:$H$44,0))</x:f>
        <x:v>Tufano Antonio</x:v>
      </x:c>
      <x:c r="N36" t="n">
        <x:f>INDEX($C$5:$C$44,MATCH(K36,$H$5:$H$44,0))</x:f>
        <x:v>9</x:v>
      </x:c>
      <x:c r="O36" t="n">
        <x:f>INDEX($D$5:$D$44,MATCH(K36,$H$5:$H$44,0))</x:f>
        <x:v>0</x:v>
      </x:c>
      <x:c r="P36" t="n">
        <x:f>INDEX($E$5:$E$44,MATCH(K36,$H$5:$H$44,0))</x:f>
        <x:v>2</x:v>
      </x:c>
      <x:c r="Q36" t="n">
        <x:f>INDEX($F$5:$F$44,MATCH(K36,$H$5:$H$44,0))</x:f>
        <x:v>42</x:v>
      </x:c>
      <x:c r="R36" t="n">
        <x:f>INDEX($G$5:$G$44,MATCH(K36,$H$5:$H$44,0))</x:f>
        <x:v>198</x:v>
      </x:c>
      <x:c r="S36" t="str">
        <x:f>INDEX($I$5:$I$44,MATCH(K36,$H$5:$H$44,0))</x:f>
        <x:v>ELIMINATO</x:v>
      </x:c>
    </x:row>
    <x:row r="37">
      <x:c r="A37" t="n">
        <x:v>33</x:v>
      </x:c>
      <x:c r="B37" t="str">
        <x:f>IFERROR(VLOOKUP(A37,Giocatori!$A$4:$B$48,2,FALSE),"")</x:f>
        <x:v>Nappi Nestore</x:v>
      </x:c>
      <x:c r="C37" t="n">
        <x:f>SUMIF(Risultati_40!$D$5:$D$124,A37,Risultati_40!$I$5:$I$124)</x:f>
        <x:v>15</x:v>
      </x:c>
      <x:c r="D37" t="n">
        <x:f>SUMIF(Risultati_40!$D$5:$D$124,A37,Risultati_40!$H$5:$H$124)</x:f>
        <x:v>0</x:v>
      </x:c>
      <x:c r="E37" t="n">
        <x:f>MINIFS(Risultati_40!$G$5:$G$124,Risultati_40!$D$5:$D$124,A37)</x:f>
        <x:v>1</x:v>
      </x:c>
      <x:c r="F37" t="n">
        <x:f>MINIFS(Risultati_40!$F$5:$F$124,Risultati_40!$D$5:$D$124,A37)</x:f>
        <x:v>20</x:v>
      </x:c>
      <x:c r="G37" t="n">
        <x:f>SUMIF(Risultati_40!$D$5:$D$124,A37,Risultati_40!$F$5:$F$124)</x:f>
        <x:v>140</x:v>
      </x:c>
      <x:c r="H37" t="n">
        <x:f>1+SUMPRODUCT(--($C$5:$C$44&gt;C37))+SUMPRODUCT(--($C$5:$C$44=C37),--($D$5:$D$44&gt;D37))+SUMPRODUCT(--($C$5:$C$44=C37),--($D$5:$D$44=D37),--($E$5:$E$44&lt;E37))+SUMPRODUCT(--($C$5:$C$44=C37),--($D$5:$D$44=D37),--($E$5:$E$44=E37),--($F$5:$F$44&lt;F37))+SUMPRODUCT(--($C$5:$C$44=C37),--($D$5:$D$44=D37),--($E$5:$E$44=E37),--($F$5:$F$44=F37),--($G$5:$G$44&lt;G37))+SUMPRODUCT(--($C$5:$C$44=C37),--($D$5:$D$44=D37),--($E$5:$E$44=E37),--($F$5:$F$44=F37),--($G$5:$G$44=G37),--($A$5:$A$44&lt;A37))</x:f>
        <x:v>20</x:v>
      </x:c>
      <x:c r="I37" t="str">
        <x:f>IF(H37&lt;=5,"ACCESSO TURNO 2",IF(H37&lt;=30,"TURNO 1","ELIMINATO"))</x:f>
        <x:v>TURNO 1</x:v>
      </x:c>
      <x:c r="K37" t="n">
        <x:v>33</x:v>
      </x:c>
      <x:c r="L37" t="n">
        <x:f>INDEX($A$5:$A$44,MATCH(K37,$H$5:$H$44,0))</x:f>
        <x:v>8</x:v>
      </x:c>
      <x:c r="M37" t="str">
        <x:f>INDEX($B$5:$B$44,MATCH(K37,$H$5:$H$44,0))</x:f>
        <x:v>Beracci Benedetto</x:v>
      </x:c>
      <x:c r="N37" t="n">
        <x:f>INDEX($C$5:$C$44,MATCH(K37,$H$5:$H$44,0))</x:f>
        <x:v>7</x:v>
      </x:c>
      <x:c r="O37" t="n">
        <x:f>INDEX($D$5:$D$44,MATCH(K37,$H$5:$H$44,0))</x:f>
        <x:v>0</x:v>
      </x:c>
      <x:c r="P37" t="n">
        <x:f>INDEX($E$5:$E$44,MATCH(K37,$H$5:$H$44,0))</x:f>
        <x:v>3</x:v>
      </x:c>
      <x:c r="Q37" t="n">
        <x:f>INDEX($F$5:$F$44,MATCH(K37,$H$5:$H$44,0))</x:f>
        <x:v>36</x:v>
      </x:c>
      <x:c r="R37" t="n">
        <x:f>INDEX($G$5:$G$44,MATCH(K37,$H$5:$H$44,0))</x:f>
        <x:v>202</x:v>
      </x:c>
      <x:c r="S37" t="str">
        <x:f>INDEX($I$5:$I$44,MATCH(K37,$H$5:$H$44,0))</x:f>
        <x:v>ELIMINATO</x:v>
      </x:c>
    </x:row>
    <x:row r="38">
      <x:c r="A38" t="n">
        <x:v>34</x:v>
      </x:c>
      <x:c r="B38" t="str">
        <x:f>IFERROR(VLOOKUP(A38,Giocatori!$A$4:$B$48,2,FALSE),"")</x:f>
        <x:v>Pasquale Marotta</x:v>
      </x:c>
      <x:c r="C38" t="n">
        <x:f>SUMIF(Risultati_40!$D$5:$D$124,A38,Risultati_40!$I$5:$I$124)</x:f>
        <x:v>12</x:v>
      </x:c>
      <x:c r="D38" t="n">
        <x:f>SUMIF(Risultati_40!$D$5:$D$124,A38,Risultati_40!$H$5:$H$124)</x:f>
        <x:v>0</x:v>
      </x:c>
      <x:c r="E38" t="n">
        <x:f>MINIFS(Risultati_40!$G$5:$G$124,Risultati_40!$D$5:$D$124,A38)</x:f>
        <x:v>1</x:v>
      </x:c>
      <x:c r="F38" t="n">
        <x:f>MINIFS(Risultati_40!$F$5:$F$124,Risultati_40!$D$5:$D$124,A38)</x:f>
        <x:v>25</x:v>
      </x:c>
      <x:c r="G38" t="n">
        <x:f>SUMIF(Risultati_40!$D$5:$D$124,A38,Risultati_40!$F$5:$F$124)</x:f>
        <x:v>168</x:v>
      </x:c>
      <x:c r="H38" t="n">
        <x:f>1+SUMPRODUCT(--($C$5:$C$44&gt;C38))+SUMPRODUCT(--($C$5:$C$44=C38),--($D$5:$D$44&gt;D38))+SUMPRODUCT(--($C$5:$C$44=C38),--($D$5:$D$44=D38),--($E$5:$E$44&lt;E38))+SUMPRODUCT(--($C$5:$C$44=C38),--($D$5:$D$44=D38),--($E$5:$E$44=E38),--($F$5:$F$44&lt;F38))+SUMPRODUCT(--($C$5:$C$44=C38),--($D$5:$D$44=D38),--($E$5:$E$44=E38),--($F$5:$F$44=F38),--($G$5:$G$44&lt;G38))+SUMPRODUCT(--($C$5:$C$44=C38),--($D$5:$D$44=D38),--($E$5:$E$44=E38),--($F$5:$F$44=F38),--($G$5:$G$44=G38),--($A$5:$A$44&lt;A38))</x:f>
        <x:v>25</x:v>
      </x:c>
      <x:c r="I38" t="str">
        <x:f>IF(H38&lt;=5,"ACCESSO TURNO 2",IF(H38&lt;=30,"TURNO 1","ELIMINATO"))</x:f>
        <x:v>TURNO 1</x:v>
      </x:c>
      <x:c r="K38" t="n">
        <x:v>34</x:v>
      </x:c>
      <x:c r="L38" t="n">
        <x:f>INDEX($A$5:$A$44,MATCH(K38,$H$5:$H$44,0))</x:f>
        <x:v>7</x:v>
      </x:c>
      <x:c r="M38" t="str">
        <x:f>INDEX($B$5:$B$44,MATCH(K38,$H$5:$H$44,0))</x:f>
        <x:v>Notaro massimo</x:v>
      </x:c>
      <x:c r="N38" t="n">
        <x:f>INDEX($C$5:$C$44,MATCH(K38,$H$5:$H$44,0))</x:f>
        <x:v>7</x:v>
      </x:c>
      <x:c r="O38" t="n">
        <x:f>INDEX($D$5:$D$44,MATCH(K38,$H$5:$H$44,0))</x:f>
        <x:v>0</x:v>
      </x:c>
      <x:c r="P38" t="n">
        <x:f>INDEX($E$5:$E$44,MATCH(K38,$H$5:$H$44,0))</x:f>
        <x:v>3</x:v>
      </x:c>
      <x:c r="Q38" t="n">
        <x:f>INDEX($F$5:$F$44,MATCH(K38,$H$5:$H$44,0))</x:f>
        <x:v>62</x:v>
      </x:c>
      <x:c r="R38" t="n">
        <x:f>INDEX($G$5:$G$44,MATCH(K38,$H$5:$H$44,0))</x:f>
        <x:v>214</x:v>
      </x:c>
      <x:c r="S38" t="str">
        <x:f>INDEX($I$5:$I$44,MATCH(K38,$H$5:$H$44,0))</x:f>
        <x:v>ELIMINATO</x:v>
      </x:c>
    </x:row>
    <x:row r="39">
      <x:c r="A39" t="n">
        <x:v>35</x:v>
      </x:c>
      <x:c r="B39" t="str">
        <x:f>IFERROR(VLOOKUP(A39,Giocatori!$A$4:$B$48,2,FALSE),"")</x:f>
        <x:v>Napolitano Raffaele</x:v>
      </x:c>
      <x:c r="C39" t="n">
        <x:f>SUMIF(Risultati_40!$D$5:$D$124,A39,Risultati_40!$I$5:$I$124)</x:f>
        <x:v>15</x:v>
      </x:c>
      <x:c r="D39" t="n">
        <x:f>SUMIF(Risultati_40!$D$5:$D$124,A39,Risultati_40!$H$5:$H$124)</x:f>
        <x:v>1</x:v>
      </x:c>
      <x:c r="E39" t="n">
        <x:f>MINIFS(Risultati_40!$G$5:$G$124,Risultati_40!$D$5:$D$124,A39)</x:f>
        <x:v>1</x:v>
      </x:c>
      <x:c r="F39" t="n">
        <x:f>MINIFS(Risultati_40!$F$5:$F$124,Risultati_40!$D$5:$D$124,A39)</x:f>
        <x:v>28</x:v>
      </x:c>
      <x:c r="G39" t="n">
        <x:f>SUMIF(Risultati_40!$D$5:$D$124,A39,Risultati_40!$F$5:$F$124)</x:f>
        <x:v>156</x:v>
      </x:c>
      <x:c r="H39" t="n">
        <x:f>1+SUMPRODUCT(--($C$5:$C$44&gt;C39))+SUMPRODUCT(--($C$5:$C$44=C39),--($D$5:$D$44&gt;D39))+SUMPRODUCT(--($C$5:$C$44=C39),--($D$5:$D$44=D39),--($E$5:$E$44&lt;E39))+SUMPRODUCT(--($C$5:$C$44=C39),--($D$5:$D$44=D39),--($E$5:$E$44=E39),--($F$5:$F$44&lt;F39))+SUMPRODUCT(--($C$5:$C$44=C39),--($D$5:$D$44=D39),--($E$5:$E$44=E39),--($F$5:$F$44=F39),--($G$5:$G$44&lt;G39))+SUMPRODUCT(--($C$5:$C$44=C39),--($D$5:$D$44=D39),--($E$5:$E$44=E39),--($F$5:$F$44=F39),--($G$5:$G$44=G39),--($A$5:$A$44&lt;A39))</x:f>
        <x:v>18</x:v>
      </x:c>
      <x:c r="I39" t="str">
        <x:f>IF(H39&lt;=5,"ACCESSO TURNO 2",IF(H39&lt;=30,"TURNO 1","ELIMINATO"))</x:f>
        <x:v>TURNO 1</x:v>
      </x:c>
      <x:c r="K39" t="n">
        <x:v>35</x:v>
      </x:c>
      <x:c r="L39" t="n">
        <x:f>INDEX($A$5:$A$44,MATCH(K39,$H$5:$H$44,0))</x:f>
        <x:v>27</x:v>
      </x:c>
      <x:c r="M39" t="str">
        <x:f>INDEX($B$5:$B$44,MATCH(K39,$H$5:$H$44,0))</x:f>
        <x:v>Tufano Michele</x:v>
      </x:c>
      <x:c r="N39" t="n">
        <x:f>INDEX($C$5:$C$44,MATCH(K39,$H$5:$H$44,0))</x:f>
        <x:v>6</x:v>
      </x:c>
      <x:c r="O39" t="n">
        <x:f>INDEX($D$5:$D$44,MATCH(K39,$H$5:$H$44,0))</x:f>
        <x:v>0</x:v>
      </x:c>
      <x:c r="P39" t="n">
        <x:f>INDEX($E$5:$E$44,MATCH(K39,$H$5:$H$44,0))</x:f>
        <x:v>4</x:v>
      </x:c>
      <x:c r="Q39" t="n">
        <x:f>INDEX($F$5:$F$44,MATCH(K39,$H$5:$H$44,0))</x:f>
        <x:v>52</x:v>
      </x:c>
      <x:c r="R39" t="n">
        <x:f>INDEX($G$5:$G$44,MATCH(K39,$H$5:$H$44,0))</x:f>
        <x:v>192</x:v>
      </x:c>
      <x:c r="S39" t="str">
        <x:f>INDEX($I$5:$I$44,MATCH(K39,$H$5:$H$44,0))</x:f>
        <x:v>ELIMINATO</x:v>
      </x:c>
    </x:row>
    <x:row r="40">
      <x:c r="A40" t="n">
        <x:v>36</x:v>
      </x:c>
      <x:c r="B40" t="str">
        <x:f>IFERROR(VLOOKUP(A40,Giocatori!$A$4:$B$48,2,FALSE),"")</x:f>
        <x:v>Perretta Maurizio</x:v>
      </x:c>
      <x:c r="C40" t="n">
        <x:f>SUMIF(Risultati_40!$D$5:$D$124,A40,Risultati_40!$I$5:$I$124)</x:f>
        <x:v>4</x:v>
      </x:c>
      <x:c r="D40" t="n">
        <x:f>SUMIF(Risultati_40!$D$5:$D$124,A40,Risultati_40!$H$5:$H$124)</x:f>
        <x:v>0</x:v>
      </x:c>
      <x:c r="E40" t="n">
        <x:f>MINIFS(Risultati_40!$G$5:$G$124,Risultati_40!$D$5:$D$124,A40)</x:f>
        <x:v>4</x:v>
      </x:c>
      <x:c r="F40" t="n">
        <x:f>MINIFS(Risultati_40!$F$5:$F$124,Risultati_40!$D$5:$D$124,A40)</x:f>
        <x:v>66</x:v>
      </x:c>
      <x:c r="G40" t="n">
        <x:f>SUMIF(Risultati_40!$D$5:$D$124,A40,Risultati_40!$F$5:$F$124)</x:f>
        <x:v>244</x:v>
      </x:c>
      <x:c r="H40" t="n">
        <x:f>1+SUMPRODUCT(--($C$5:$C$44&gt;C40))+SUMPRODUCT(--($C$5:$C$44=C40),--($D$5:$D$44&gt;D40))+SUMPRODUCT(--($C$5:$C$44=C40),--($D$5:$D$44=D40),--($E$5:$E$44&lt;E40))+SUMPRODUCT(--($C$5:$C$44=C40),--($D$5:$D$44=D40),--($E$5:$E$44=E40),--($F$5:$F$44&lt;F40))+SUMPRODUCT(--($C$5:$C$44=C40),--($D$5:$D$44=D40),--($E$5:$E$44=E40),--($F$5:$F$44=F40),--($G$5:$G$44&lt;G40))+SUMPRODUCT(--($C$5:$C$44=C40),--($D$5:$D$44=D40),--($E$5:$E$44=E40),--($F$5:$F$44=F40),--($G$5:$G$44=G40),--($A$5:$A$44&lt;A40))</x:f>
        <x:v>39</x:v>
      </x:c>
      <x:c r="I40" t="str">
        <x:f>IF(H40&lt;=5,"ACCESSO TURNO 2",IF(H40&lt;=30,"TURNO 1","ELIMINATO"))</x:f>
        <x:v>ELIMINATO</x:v>
      </x:c>
      <x:c r="K40" t="n">
        <x:v>36</x:v>
      </x:c>
      <x:c r="L40" t="n">
        <x:f>INDEX($A$5:$A$44,MATCH(K40,$H$5:$H$44,0))</x:f>
        <x:v>20</x:v>
      </x:c>
      <x:c r="M40" t="str">
        <x:f>INDEX($B$5:$B$44,MATCH(K40,$H$5:$H$44,0))</x:f>
        <x:v>Di Grazia Salvatore</x:v>
      </x:c>
      <x:c r="N40" t="n">
        <x:f>INDEX($C$5:$C$44,MATCH(K40,$H$5:$H$44,0))</x:f>
        <x:v>5</x:v>
      </x:c>
      <x:c r="O40" t="n">
        <x:f>INDEX($D$5:$D$44,MATCH(K40,$H$5:$H$44,0))</x:f>
        <x:v>0</x:v>
      </x:c>
      <x:c r="P40" t="n">
        <x:f>INDEX($E$5:$E$44,MATCH(K40,$H$5:$H$44,0))</x:f>
        <x:v>4</x:v>
      </x:c>
      <x:c r="Q40" t="n">
        <x:f>INDEX($F$5:$F$44,MATCH(K40,$H$5:$H$44,0))</x:f>
        <x:v>33</x:v>
      </x:c>
      <x:c r="R40" t="n">
        <x:f>INDEX($G$5:$G$44,MATCH(K40,$H$5:$H$44,0))</x:f>
        <x:v>193</x:v>
      </x:c>
      <x:c r="S40" t="str">
        <x:f>INDEX($I$5:$I$44,MATCH(K40,$H$5:$H$44,0))</x:f>
        <x:v>ELIMINATO</x:v>
      </x:c>
    </x:row>
    <x:row r="41">
      <x:c r="A41" t="n">
        <x:v>37</x:v>
      </x:c>
      <x:c r="B41" t="str">
        <x:f>IFERROR(VLOOKUP(A41,Giocatori!$A$4:$B$48,2,FALSE),"")</x:f>
        <x:v>Annunziata Raffaele</x:v>
      </x:c>
      <x:c r="C41" t="n">
        <x:f>SUMIF(Risultati_40!$D$5:$D$124,A41,Risultati_40!$I$5:$I$124)</x:f>
        <x:v>17</x:v>
      </x:c>
      <x:c r="D41" t="n">
        <x:f>SUMIF(Risultati_40!$D$5:$D$124,A41,Risultati_40!$H$5:$H$124)</x:f>
        <x:v>0</x:v>
      </x:c>
      <x:c r="E41" t="n">
        <x:f>MINIFS(Risultati_40!$G$5:$G$124,Risultati_40!$D$5:$D$124,A41)</x:f>
        <x:v>1</x:v>
      </x:c>
      <x:c r="F41" t="n">
        <x:f>MINIFS(Risultati_40!$F$5:$F$124,Risultati_40!$D$5:$D$124,A41)</x:f>
        <x:v>22</x:v>
      </x:c>
      <x:c r="G41" t="n">
        <x:f>SUMIF(Risultati_40!$D$5:$D$124,A41,Risultati_40!$F$5:$F$124)</x:f>
        <x:v>104</x:v>
      </x:c>
      <x:c r="H41" t="n">
        <x:f>1+SUMPRODUCT(--($C$5:$C$44&gt;C41))+SUMPRODUCT(--($C$5:$C$44=C41),--($D$5:$D$44&gt;D41))+SUMPRODUCT(--($C$5:$C$44=C41),--($D$5:$D$44=D41),--($E$5:$E$44&lt;E41))+SUMPRODUCT(--($C$5:$C$44=C41),--($D$5:$D$44=D41),--($E$5:$E$44=E41),--($F$5:$F$44&lt;F41))+SUMPRODUCT(--($C$5:$C$44=C41),--($D$5:$D$44=D41),--($E$5:$E$44=E41),--($F$5:$F$44=F41),--($G$5:$G$44&lt;G41))+SUMPRODUCT(--($C$5:$C$44=C41),--($D$5:$D$44=D41),--($E$5:$E$44=E41),--($F$5:$F$44=F41),--($G$5:$G$44=G41),--($A$5:$A$44&lt;A41))</x:f>
        <x:v>10</x:v>
      </x:c>
      <x:c r="I41" t="str">
        <x:f>IF(H41&lt;=5,"ACCESSO TURNO 2",IF(H41&lt;=30,"TURNO 1","ELIMINATO"))</x:f>
        <x:v>TURNO 1</x:v>
      </x:c>
      <x:c r="K41" t="n">
        <x:v>37</x:v>
      </x:c>
      <x:c r="L41" t="n">
        <x:f>INDEX($A$5:$A$44,MATCH(K41,$H$5:$H$44,0))</x:f>
        <x:v>1</x:v>
      </x:c>
      <x:c r="M41" t="str">
        <x:f>INDEX($B$5:$B$44,MATCH(K41,$H$5:$H$44,0))</x:f>
        <x:v>Zio Raffaele</x:v>
      </x:c>
      <x:c r="N41" t="n">
        <x:f>INDEX($C$5:$C$44,MATCH(K41,$H$5:$H$44,0))</x:f>
        <x:v>5</x:v>
      </x:c>
      <x:c r="O41" t="n">
        <x:f>INDEX($D$5:$D$44,MATCH(K41,$H$5:$H$44,0))</x:f>
        <x:v>0</x:v>
      </x:c>
      <x:c r="P41" t="n">
        <x:f>INDEX($E$5:$E$44,MATCH(K41,$H$5:$H$44,0))</x:f>
        <x:v>4</x:v>
      </x:c>
      <x:c r="Q41" t="n">
        <x:f>INDEX($F$5:$F$44,MATCH(K41,$H$5:$H$44,0))</x:f>
        <x:v>63</x:v>
      </x:c>
      <x:c r="R41" t="n">
        <x:f>INDEX($G$5:$G$44,MATCH(K41,$H$5:$H$44,0))</x:f>
        <x:v>228</x:v>
      </x:c>
      <x:c r="S41" t="str">
        <x:f>INDEX($I$5:$I$44,MATCH(K41,$H$5:$H$44,0))</x:f>
        <x:v>ELIMINATO</x:v>
      </x:c>
    </x:row>
    <x:row r="42">
      <x:c r="A42" t="n">
        <x:v>38</x:v>
      </x:c>
      <x:c r="B42" t="str">
        <x:f>IFERROR(VLOOKUP(A42,Giocatori!$A$4:$B$48,2,FALSE),"")</x:f>
        <x:v>Giuseppe Pierro</x:v>
      </x:c>
      <x:c r="C42" t="n">
        <x:f>SUMIF(Risultati_40!$D$5:$D$124,A42,Risultati_40!$I$5:$I$124)</x:f>
        <x:v>11</x:v>
      </x:c>
      <x:c r="D42" t="n">
        <x:f>SUMIF(Risultati_40!$D$5:$D$124,A42,Risultati_40!$H$5:$H$124)</x:f>
        <x:v>0</x:v>
      </x:c>
      <x:c r="E42" t="n">
        <x:f>MINIFS(Risultati_40!$G$5:$G$124,Risultati_40!$D$5:$D$124,A42)</x:f>
        <x:v>2</x:v>
      </x:c>
      <x:c r="F42" t="n">
        <x:f>MINIFS(Risultati_40!$F$5:$F$124,Risultati_40!$D$5:$D$124,A42)</x:f>
        <x:v>33</x:v>
      </x:c>
      <x:c r="G42" t="n">
        <x:f>SUMIF(Risultati_40!$D$5:$D$124,A42,Risultati_40!$F$5:$F$124)</x:f>
        <x:v>168</x:v>
      </x:c>
      <x:c r="H42" t="n">
        <x:f>1+SUMPRODUCT(--($C$5:$C$44&gt;C42))+SUMPRODUCT(--($C$5:$C$44=C42),--($D$5:$D$44&gt;D42))+SUMPRODUCT(--($C$5:$C$44=C42),--($D$5:$D$44=D42),--($E$5:$E$44&lt;E42))+SUMPRODUCT(--($C$5:$C$44=C42),--($D$5:$D$44=D42),--($E$5:$E$44=E42),--($F$5:$F$44&lt;F42))+SUMPRODUCT(--($C$5:$C$44=C42),--($D$5:$D$44=D42),--($E$5:$E$44=E42),--($F$5:$F$44=F42),--($G$5:$G$44&lt;G42))+SUMPRODUCT(--($C$5:$C$44=C42),--($D$5:$D$44=D42),--($E$5:$E$44=E42),--($F$5:$F$44=F42),--($G$5:$G$44=G42),--($A$5:$A$44&lt;A42))</x:f>
        <x:v>29</x:v>
      </x:c>
      <x:c r="I42" t="str">
        <x:f>IF(H42&lt;=5,"ACCESSO TURNO 2",IF(H42&lt;=30,"TURNO 1","ELIMINATO"))</x:f>
        <x:v>TURNO 1</x:v>
      </x:c>
      <x:c r="K42" t="n">
        <x:v>38</x:v>
      </x:c>
      <x:c r="L42" t="n">
        <x:f>INDEX($A$5:$A$44,MATCH(K42,$H$5:$H$44,0))</x:f>
        <x:v>21</x:v>
      </x:c>
      <x:c r="M42" t="str">
        <x:f>INDEX($B$5:$B$44,MATCH(K42,$H$5:$H$44,0))</x:f>
        <x:v>Mauro Candice</x:v>
      </x:c>
      <x:c r="N42" t="n">
        <x:f>INDEX($C$5:$C$44,MATCH(K42,$H$5:$H$44,0))</x:f>
        <x:v>5</x:v>
      </x:c>
      <x:c r="O42" t="n">
        <x:f>INDEX($D$5:$D$44,MATCH(K42,$H$5:$H$44,0))</x:f>
        <x:v>0</x:v>
      </x:c>
      <x:c r="P42" t="n">
        <x:f>INDEX($E$5:$E$44,MATCH(K42,$H$5:$H$44,0))</x:f>
        <x:v>4</x:v>
      </x:c>
      <x:c r="Q42" t="n">
        <x:f>INDEX($F$5:$F$44,MATCH(K42,$H$5:$H$44,0))</x:f>
        <x:v>75</x:v>
      </x:c>
      <x:c r="R42" t="n">
        <x:f>INDEX($G$5:$G$44,MATCH(K42,$H$5:$H$44,0))</x:f>
        <x:v>242</x:v>
      </x:c>
      <x:c r="S42" t="str">
        <x:f>INDEX($I$5:$I$44,MATCH(K42,$H$5:$H$44,0))</x:f>
        <x:v>ELIMINATO</x:v>
      </x:c>
    </x:row>
    <x:row r="43">
      <x:c r="A43" t="n">
        <x:v>39</x:v>
      </x:c>
      <x:c r="B43" t="str">
        <x:f>IFERROR(VLOOKUP(A43,Giocatori!$A$4:$B$48,2,FALSE),"")</x:f>
        <x:v>La Marca Pasquale</x:v>
      </x:c>
      <x:c r="C43" t="n">
        <x:f>SUMIF(Risultati_40!$D$5:$D$124,A43,Risultati_40!$I$5:$I$124)</x:f>
        <x:v>17</x:v>
      </x:c>
      <x:c r="D43" t="n">
        <x:f>SUMIF(Risultati_40!$D$5:$D$124,A43,Risultati_40!$H$5:$H$124)</x:f>
        <x:v>0</x:v>
      </x:c>
      <x:c r="E43" t="n">
        <x:f>MINIFS(Risultati_40!$G$5:$G$124,Risultati_40!$D$5:$D$124,A43)</x:f>
        <x:v>1</x:v>
      </x:c>
      <x:c r="F43" t="n">
        <x:f>MINIFS(Risultati_40!$F$5:$F$124,Risultati_40!$D$5:$D$124,A43)</x:f>
        <x:v>29</x:v>
      </x:c>
      <x:c r="G43" t="n">
        <x:f>SUMIF(Risultati_40!$D$5:$D$124,A43,Risultati_40!$F$5:$F$124)</x:f>
        <x:v>128</x:v>
      </x:c>
      <x:c r="H43" t="n">
        <x:f>1+SUMPRODUCT(--($C$5:$C$44&gt;C43))+SUMPRODUCT(--($C$5:$C$44=C43),--($D$5:$D$44&gt;D43))+SUMPRODUCT(--($C$5:$C$44=C43),--($D$5:$D$44=D43),--($E$5:$E$44&lt;E43))+SUMPRODUCT(--($C$5:$C$44=C43),--($D$5:$D$44=D43),--($E$5:$E$44=E43),--($F$5:$F$44&lt;F43))+SUMPRODUCT(--($C$5:$C$44=C43),--($D$5:$D$44=D43),--($E$5:$E$44=E43),--($F$5:$F$44=F43),--($G$5:$G$44&lt;G43))+SUMPRODUCT(--($C$5:$C$44=C43),--($D$5:$D$44=D43),--($E$5:$E$44=E43),--($F$5:$F$44=F43),--($G$5:$G$44=G43),--($A$5:$A$44&lt;A43))</x:f>
        <x:v>11</x:v>
      </x:c>
      <x:c r="I43" t="str">
        <x:f>IF(H43&lt;=5,"ACCESSO TURNO 2",IF(H43&lt;=30,"TURNO 1","ELIMINATO"))</x:f>
        <x:v>TURNO 1</x:v>
      </x:c>
      <x:c r="K43" t="n">
        <x:v>39</x:v>
      </x:c>
      <x:c r="L43" t="n">
        <x:f>INDEX($A$5:$A$44,MATCH(K43,$H$5:$H$44,0))</x:f>
        <x:v>36</x:v>
      </x:c>
      <x:c r="M43" t="str">
        <x:f>INDEX($B$5:$B$44,MATCH(K43,$H$5:$H$44,0))</x:f>
        <x:v>Perretta Maurizio</x:v>
      </x:c>
      <x:c r="N43" t="n">
        <x:f>INDEX($C$5:$C$44,MATCH(K43,$H$5:$H$44,0))</x:f>
        <x:v>4</x:v>
      </x:c>
      <x:c r="O43" t="n">
        <x:f>INDEX($D$5:$D$44,MATCH(K43,$H$5:$H$44,0))</x:f>
        <x:v>0</x:v>
      </x:c>
      <x:c r="P43" t="n">
        <x:f>INDEX($E$5:$E$44,MATCH(K43,$H$5:$H$44,0))</x:f>
        <x:v>4</x:v>
      </x:c>
      <x:c r="Q43" t="n">
        <x:f>INDEX($F$5:$F$44,MATCH(K43,$H$5:$H$44,0))</x:f>
        <x:v>66</x:v>
      </x:c>
      <x:c r="R43" t="n">
        <x:f>INDEX($G$5:$G$44,MATCH(K43,$H$5:$H$44,0))</x:f>
        <x:v>244</x:v>
      </x:c>
      <x:c r="S43" t="str">
        <x:f>INDEX($I$5:$I$44,MATCH(K43,$H$5:$H$44,0))</x:f>
        <x:v>ELIMINATO</x:v>
      </x:c>
    </x:row>
    <x:row r="44">
      <x:c r="A44" t="n">
        <x:v>40</x:v>
      </x:c>
      <x:c r="B44" t="str">
        <x:f>IFERROR(VLOOKUP(A44,Giocatori!$A$4:$B$48,2,FALSE),"")</x:f>
        <x:v>Ambrosino Michele</x:v>
      </x:c>
      <x:c r="C44" t="n">
        <x:f>SUMIF(Risultati_40!$D$5:$D$124,A44,Risultati_40!$I$5:$I$124)</x:f>
        <x:v>9</x:v>
      </x:c>
      <x:c r="D44" t="n">
        <x:f>SUMIF(Risultati_40!$D$5:$D$124,A44,Risultati_40!$H$5:$H$124)</x:f>
        <x:v>0</x:v>
      </x:c>
      <x:c r="E44" t="n">
        <x:f>MINIFS(Risultati_40!$G$5:$G$124,Risultati_40!$D$5:$D$124,A44)</x:f>
        <x:v>2</x:v>
      </x:c>
      <x:c r="F44" t="n">
        <x:f>MINIFS(Risultati_40!$F$5:$F$124,Risultati_40!$D$5:$D$124,A44)</x:f>
        <x:v>31</x:v>
      </x:c>
      <x:c r="G44" t="n">
        <x:f>SUMIF(Risultati_40!$D$5:$D$124,A44,Risultati_40!$F$5:$F$124)</x:f>
        <x:v>183</x:v>
      </x:c>
      <x:c r="H44" t="n">
        <x:f>1+SUMPRODUCT(--($C$5:$C$44&gt;C44))+SUMPRODUCT(--($C$5:$C$44=C44),--($D$5:$D$44&gt;D44))+SUMPRODUCT(--($C$5:$C$44=C44),--($D$5:$D$44=D44),--($E$5:$E$44&lt;E44))+SUMPRODUCT(--($C$5:$C$44=C44),--($D$5:$D$44=D44),--($E$5:$E$44=E44),--($F$5:$F$44&lt;F44))+SUMPRODUCT(--($C$5:$C$44=C44),--($D$5:$D$44=D44),--($E$5:$E$44=E44),--($F$5:$F$44=F44),--($G$5:$G$44&lt;G44))+SUMPRODUCT(--($C$5:$C$44=C44),--($D$5:$D$44=D44),--($E$5:$E$44=E44),--($F$5:$F$44=F44),--($G$5:$G$44=G44),--($A$5:$A$44&lt;A44))</x:f>
        <x:v>31</x:v>
      </x:c>
      <x:c r="I44" t="str">
        <x:f>IF(H44&lt;=5,"ACCESSO TURNO 2",IF(H44&lt;=30,"TURNO 1","ELIMINATO"))</x:f>
        <x:v>ELIMINATO</x:v>
      </x:c>
      <x:c r="K44" t="n">
        <x:v>40</x:v>
      </x:c>
      <x:c r="L44" t="n">
        <x:f>INDEX($A$5:$A$44,MATCH(K44,$H$5:$H$44,0))</x:f>
        <x:v>18</x:v>
      </x:c>
      <x:c r="M44" t="str">
        <x:f>INDEX($B$5:$B$44,MATCH(K44,$H$5:$H$44,0))</x:f>
        <x:v>Cafarelli Manolo</x:v>
      </x:c>
      <x:c r="N44" t="n">
        <x:f>INDEX($C$5:$C$44,MATCH(K44,$H$5:$H$44,0))</x:f>
        <x:v>3</x:v>
      </x:c>
      <x:c r="O44" t="n">
        <x:f>INDEX($D$5:$D$44,MATCH(K44,$H$5:$H$44,0))</x:f>
        <x:v>0</x:v>
      </x:c>
      <x:c r="P44" t="n">
        <x:f>INDEX($E$5:$E$44,MATCH(K44,$H$5:$H$44,0))</x:f>
        <x:v>5</x:v>
      </x:c>
      <x:c r="Q44" t="n">
        <x:f>INDEX($F$5:$F$44,MATCH(K44,$H$5:$H$44,0))</x:f>
        <x:v>81</x:v>
      </x:c>
      <x:c r="R44" t="n">
        <x:f>INDEX($G$5:$G$44,MATCH(K44,$H$5:$H$44,0))</x:f>
        <x:v>260</x:v>
      </x:c>
      <x:c r="S44" t="str">
        <x:f>INDEX($I$5:$I$44,MATCH(K44,$H$5:$H$44,0))</x:f>
        <x:v>ELIMINATO</x:v>
      </x:c>
    </x:row>
  </x:sheetData>
  <x:mergeCells>
    <x:mergeCell ref="A1:I1"/>
    <x:mergeCell ref="K1:S1"/>
  </x:mergeCells>
  <x:conditionalFormatting sqref="I5:I44">
    <x:cfRule type="expression" dxfId="3" priority="1">
      <x:formula>I5="ACCESSO TURNO 2"</x:formula>
    </x:cfRule>
    <x:cfRule type="expression" dxfId="4" priority="2">
      <x:formula>I5="TURNO 1"</x:formula>
    </x:cfRule>
    <x:cfRule type="expression" dxfId="5" priority="3">
      <x:formula>I5="ELIMINATO"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12" hidden="0" customWidth="1"/>
    <x:col min="4" max="4" width="12" hidden="0" customWidth="1"/>
    <x:col min="5" max="5" width="23" hidden="0" customWidth="1"/>
    <x:col min="6" max="6" width="13" hidden="0" customWidth="1"/>
    <x:col min="7" max="7" width="10" hidden="0" customWidth="1"/>
    <x:col min="8" max="8" width="8" hidden="0" customWidth="1"/>
    <x:col min="9" max="9" width="12" hidden="0" customWidth="1"/>
    <x:col min="10" max="10" width="20" hidden="0" customWidth="1"/>
    <x:col min="11" max="11" width="10" hidden="0" customWidth="1"/>
    <x:col min="13" max="13" width="9" hidden="0" customWidth="1"/>
    <x:col min="14" max="14" width="9" hidden="0" customWidth="1"/>
    <x:col min="15" max="15" width="23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>
      <x:c r="A1" s="42" t="str">
        <x:v>FASE FINALE — TURNO 1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 t="str">
        <x:v>15 QUALIFICATI — ORDINE DI MERITO</x:v>
      </x:c>
      <x:c r="N1" s="42"/>
      <x:c r="O1" s="42"/>
      <x:c r="P1" s="42"/>
      <x:c r="Q1" s="42"/>
      <x:c r="R1" s="42"/>
    </x:row>
    <x:row r="2">
      <x:c r="A2" t="str">
        <x:v>Classificati dal 6° al 30° posto. 5 tavoli da 5. Passano i primi 3 di ogni tavolo.</x:v>
      </x:c>
    </x:row>
    <x:row r="4">
      <x:c r="A4" s="46" t="str">
        <x:v>Tavolo</x:v>
      </x:c>
      <x:c r="B4" s="46" t="str">
        <x:v>Sedia</x:v>
      </x:c>
      <x:c r="C4" s="46" t="str">
        <x:v>Seed iniziale</x:v>
      </x:c>
      <x:c r="D4" s="46" t="str">
        <x:v>Giocatore ID</x:v>
      </x:c>
      <x:c r="E4" s="46" t="str">
        <x:v>Nome</x:v>
      </x:c>
      <x:c r="F4" s="46" t="str">
        <x:v>Punti partita</x:v>
      </x:c>
      <x:c r="G4" s="46" t="str">
        <x:v>Posizione</x:v>
      </x:c>
      <x:c r="H4" s="46" t="str">
        <x:v>Sòle</x:v>
      </x:c>
      <x:c r="I4" s="46" t="str">
        <x:v>Qualificato</x:v>
      </x:c>
      <x:c r="J4" s="46" t="str">
        <x:v>Note</x:v>
      </x:c>
      <x:c r="K4" s="46" t="str">
        <x:v>Merito T1</x:v>
      </x:c>
      <x:c r="M4" s="46" t="str">
        <x:v>Ordine</x:v>
      </x:c>
      <x:c r="N4" s="46" t="str">
        <x:v>ID</x:v>
      </x:c>
      <x:c r="O4" s="46" t="str">
        <x:v>Nome</x:v>
      </x:c>
      <x:c r="P4" s="46" t="str">
        <x:v>Seed iniziale</x:v>
      </x:c>
      <x:c r="Q4" s="46" t="str">
        <x:v>Posizione T1</x:v>
      </x:c>
      <x:c r="R4" s="46" t="str">
        <x:v>Punti T1</x:v>
      </x:c>
    </x:row>
    <x:row r="5">
      <x:c r="A5" t="str">
        <x:v>A</x:v>
      </x:c>
      <x:c r="B5" t="n">
        <x:v>1</x:v>
      </x:c>
      <x:c r="C5" t="n">
        <x:v>6</x:v>
      </x:c>
      <x:c r="D5" t="n">
        <x:f>INDEX(Classifica_Iniziale!$L$5:$L$44,C5)</x:f>
        <x:v>10</x:v>
      </x:c>
      <x:c r="E5" t="str">
        <x:f>INDEX(Classifica_Iniziale!$M$5:$M$44,C5)</x:f>
        <x:v>Caliendo Nunzio</x:v>
      </x:c>
      <x:c r="F5" s="47"/>
      <x:c r="G5" s="47"/>
      <x:c r="H5" s="47"/>
      <x:c r="I5" t="str">
        <x:f>IF(G5="","",IF(G5&lt;=3,"Sì","No"))</x:f>
      </x:c>
      <x:c r="J5" s="47"/>
      <x:c r="K5" t="str">
        <x:f>IF(OR(G5="",G5&gt;3),"",1+SUMPRODUCT(--($G$5:$G$29&lt;G5))+SUMPRODUCT(--($G$5:$G$29=G5),--($F$5:$F$29&lt;F5))+SUMPRODUCT(--($G$5:$G$29=G5),--($F$5:$F$29=F5),--($H$5:$H$29&gt;H5))+SUMPRODUCT(--($G$5:$G$29=G5),--($F$5:$F$29=F5),--($H$5:$H$29=H5),--($C$5:$C$29&lt;C5)))</x:f>
      </x:c>
      <x:c r="M5" t="n">
        <x:v>1</x:v>
      </x:c>
      <x:c r="N5" t="str">
        <x:f>IFERROR(INDEX($D$5:$D$29,MATCH(M5,$K$5:$K$29,0)),"")</x:f>
      </x:c>
      <x:c r="O5" t="str">
        <x:f>IFERROR(INDEX($E$5:$E$29,MATCH(M5,$K$5:$K$29,0)),"")</x:f>
      </x:c>
      <x:c r="P5" t="str">
        <x:f>IFERROR(INDEX($C$5:$C$29,MATCH(M5,$K$5:$K$29,0)),"")</x:f>
      </x:c>
      <x:c r="Q5" t="str">
        <x:f>IFERROR(INDEX($G$5:$G$29,MATCH(M5,$K$5:$K$29,0)),"")</x:f>
      </x:c>
      <x:c r="R5" t="str">
        <x:f>IFERROR(INDEX($F$5:$F$29,MATCH(M5,$K$5:$K$29,0)),"")</x:f>
      </x:c>
    </x:row>
    <x:row r="6">
      <x:c r="A6" t="str">
        <x:v>A</x:v>
      </x:c>
      <x:c r="B6" t="n">
        <x:v>2</x:v>
      </x:c>
      <x:c r="C6" t="n">
        <x:v>15</x:v>
      </x:c>
      <x:c r="D6" t="n">
        <x:f>INDEX(Classifica_Iniziale!$L$5:$L$44,C6)</x:f>
        <x:v>2</x:v>
      </x:c>
      <x:c r="E6" t="str">
        <x:f>INDEX(Classifica_Iniziale!$M$5:$M$44,C6)</x:f>
        <x:v>Nicola Mauro</x:v>
      </x:c>
      <x:c r="F6" s="47"/>
      <x:c r="G6" s="47"/>
      <x:c r="H6" s="47"/>
      <x:c r="I6" t="str">
        <x:f>IF(G6="","",IF(G6&lt;=3,"Sì","No"))</x:f>
      </x:c>
      <x:c r="J6" s="47"/>
      <x:c r="K6" t="str">
        <x:f>IF(OR(G6="",G6&gt;3),"",1+SUMPRODUCT(--($G$5:$G$29&lt;G6))+SUMPRODUCT(--($G$5:$G$29=G6),--($F$5:$F$29&lt;F6))+SUMPRODUCT(--($G$5:$G$29=G6),--($F$5:$F$29=F6),--($H$5:$H$29&gt;H6))+SUMPRODUCT(--($G$5:$G$29=G6),--($F$5:$F$29=F6),--($H$5:$H$29=H6),--($C$5:$C$29&lt;C6)))</x:f>
      </x:c>
      <x:c r="M6" t="n">
        <x:v>2</x:v>
      </x:c>
      <x:c r="N6" t="str">
        <x:f>IFERROR(INDEX($D$5:$D$29,MATCH(M6,$K$5:$K$29,0)),"")</x:f>
      </x:c>
      <x:c r="O6" t="str">
        <x:f>IFERROR(INDEX($E$5:$E$29,MATCH(M6,$K$5:$K$29,0)),"")</x:f>
      </x:c>
      <x:c r="P6" t="str">
        <x:f>IFERROR(INDEX($C$5:$C$29,MATCH(M6,$K$5:$K$29,0)),"")</x:f>
      </x:c>
      <x:c r="Q6" t="str">
        <x:f>IFERROR(INDEX($G$5:$G$29,MATCH(M6,$K$5:$K$29,0)),"")</x:f>
      </x:c>
      <x:c r="R6" t="str">
        <x:f>IFERROR(INDEX($F$5:$F$29,MATCH(M6,$K$5:$K$29,0)),"")</x:f>
      </x:c>
    </x:row>
    <x:row r="7">
      <x:c r="A7" t="str">
        <x:v>A</x:v>
      </x:c>
      <x:c r="B7" t="n">
        <x:v>3</x:v>
      </x:c>
      <x:c r="C7" t="n">
        <x:v>16</x:v>
      </x:c>
      <x:c r="D7" t="n">
        <x:f>INDEX(Classifica_Iniziale!$L$5:$L$44,C7)</x:f>
        <x:v>12</x:v>
      </x:c>
      <x:c r="E7" t="str">
        <x:f>INDEX(Classifica_Iniziale!$M$5:$M$44,C7)</x:f>
        <x:v>De Falco Andrea</x:v>
      </x:c>
      <x:c r="F7" s="47"/>
      <x:c r="G7" s="47"/>
      <x:c r="H7" s="47"/>
      <x:c r="I7" t="str">
        <x:f>IF(G7="","",IF(G7&lt;=3,"Sì","No"))</x:f>
      </x:c>
      <x:c r="J7" s="47"/>
      <x:c r="K7" t="str">
        <x:f>IF(OR(G7="",G7&gt;3),"",1+SUMPRODUCT(--($G$5:$G$29&lt;G7))+SUMPRODUCT(--($G$5:$G$29=G7),--($F$5:$F$29&lt;F7))+SUMPRODUCT(--($G$5:$G$29=G7),--($F$5:$F$29=F7),--($H$5:$H$29&gt;H7))+SUMPRODUCT(--($G$5:$G$29=G7),--($F$5:$F$29=F7),--($H$5:$H$29=H7),--($C$5:$C$29&lt;C7)))</x:f>
      </x:c>
      <x:c r="M7" t="n">
        <x:v>3</x:v>
      </x:c>
      <x:c r="N7" t="str">
        <x:f>IFERROR(INDEX($D$5:$D$29,MATCH(M7,$K$5:$K$29,0)),"")</x:f>
      </x:c>
      <x:c r="O7" t="str">
        <x:f>IFERROR(INDEX($E$5:$E$29,MATCH(M7,$K$5:$K$29,0)),"")</x:f>
      </x:c>
      <x:c r="P7" t="str">
        <x:f>IFERROR(INDEX($C$5:$C$29,MATCH(M7,$K$5:$K$29,0)),"")</x:f>
      </x:c>
      <x:c r="Q7" t="str">
        <x:f>IFERROR(INDEX($G$5:$G$29,MATCH(M7,$K$5:$K$29,0)),"")</x:f>
      </x:c>
      <x:c r="R7" t="str">
        <x:f>IFERROR(INDEX($F$5:$F$29,MATCH(M7,$K$5:$K$29,0)),"")</x:f>
      </x:c>
    </x:row>
    <x:row r="8">
      <x:c r="A8" t="str">
        <x:v>A</x:v>
      </x:c>
      <x:c r="B8" t="n">
        <x:v>4</x:v>
      </x:c>
      <x:c r="C8" t="n">
        <x:v>25</x:v>
      </x:c>
      <x:c r="D8" t="n">
        <x:f>INDEX(Classifica_Iniziale!$L$5:$L$44,C8)</x:f>
        <x:v>34</x:v>
      </x:c>
      <x:c r="E8" t="str">
        <x:f>INDEX(Classifica_Iniziale!$M$5:$M$44,C8)</x:f>
        <x:v>Pasquale Marotta</x:v>
      </x:c>
      <x:c r="F8" s="47"/>
      <x:c r="G8" s="47"/>
      <x:c r="H8" s="47"/>
      <x:c r="I8" t="str">
        <x:f>IF(G8="","",IF(G8&lt;=3,"Sì","No"))</x:f>
      </x:c>
      <x:c r="J8" s="47"/>
      <x:c r="K8" t="str">
        <x:f>IF(OR(G8="",G8&gt;3),"",1+SUMPRODUCT(--($G$5:$G$29&lt;G8))+SUMPRODUCT(--($G$5:$G$29=G8),--($F$5:$F$29&lt;F8))+SUMPRODUCT(--($G$5:$G$29=G8),--($F$5:$F$29=F8),--($H$5:$H$29&gt;H8))+SUMPRODUCT(--($G$5:$G$29=G8),--($F$5:$F$29=F8),--($H$5:$H$29=H8),--($C$5:$C$29&lt;C8)))</x:f>
      </x:c>
      <x:c r="M8" t="n">
        <x:v>4</x:v>
      </x:c>
      <x:c r="N8" t="str">
        <x:f>IFERROR(INDEX($D$5:$D$29,MATCH(M8,$K$5:$K$29,0)),"")</x:f>
      </x:c>
      <x:c r="O8" t="str">
        <x:f>IFERROR(INDEX($E$5:$E$29,MATCH(M8,$K$5:$K$29,0)),"")</x:f>
      </x:c>
      <x:c r="P8" t="str">
        <x:f>IFERROR(INDEX($C$5:$C$29,MATCH(M8,$K$5:$K$29,0)),"")</x:f>
      </x:c>
      <x:c r="Q8" t="str">
        <x:f>IFERROR(INDEX($G$5:$G$29,MATCH(M8,$K$5:$K$29,0)),"")</x:f>
      </x:c>
      <x:c r="R8" t="str">
        <x:f>IFERROR(INDEX($F$5:$F$29,MATCH(M8,$K$5:$K$29,0)),"")</x:f>
      </x:c>
    </x:row>
    <x:row r="9">
      <x:c r="A9" t="str">
        <x:v>A</x:v>
      </x:c>
      <x:c r="B9" t="n">
        <x:v>5</x:v>
      </x:c>
      <x:c r="C9" t="n">
        <x:v>26</x:v>
      </x:c>
      <x:c r="D9" t="n">
        <x:f>INDEX(Classifica_Iniziale!$L$5:$L$44,C9)</x:f>
        <x:v>13</x:v>
      </x:c>
      <x:c r="E9" t="str">
        <x:f>INDEX(Classifica_Iniziale!$M$5:$M$44,C9)</x:f>
        <x:v>Corbo Alessandro</x:v>
      </x:c>
      <x:c r="F9" s="47"/>
      <x:c r="G9" s="47"/>
      <x:c r="H9" s="47"/>
      <x:c r="I9" t="str">
        <x:f>IF(G9="","",IF(G9&lt;=3,"Sì","No"))</x:f>
      </x:c>
      <x:c r="J9" s="47"/>
      <x:c r="K9" t="str">
        <x:f>IF(OR(G9="",G9&gt;3),"",1+SUMPRODUCT(--($G$5:$G$29&lt;G9))+SUMPRODUCT(--($G$5:$G$29=G9),--($F$5:$F$29&lt;F9))+SUMPRODUCT(--($G$5:$G$29=G9),--($F$5:$F$29=F9),--($H$5:$H$29&gt;H9))+SUMPRODUCT(--($G$5:$G$29=G9),--($F$5:$F$29=F9),--($H$5:$H$29=H9),--($C$5:$C$29&lt;C9)))</x:f>
      </x:c>
      <x:c r="M9" t="n">
        <x:v>5</x:v>
      </x:c>
      <x:c r="N9" t="str">
        <x:f>IFERROR(INDEX($D$5:$D$29,MATCH(M9,$K$5:$K$29,0)),"")</x:f>
      </x:c>
      <x:c r="O9" t="str">
        <x:f>IFERROR(INDEX($E$5:$E$29,MATCH(M9,$K$5:$K$29,0)),"")</x:f>
      </x:c>
      <x:c r="P9" t="str">
        <x:f>IFERROR(INDEX($C$5:$C$29,MATCH(M9,$K$5:$K$29,0)),"")</x:f>
      </x:c>
      <x:c r="Q9" t="str">
        <x:f>IFERROR(INDEX($G$5:$G$29,MATCH(M9,$K$5:$K$29,0)),"")</x:f>
      </x:c>
      <x:c r="R9" t="str">
        <x:f>IFERROR(INDEX($F$5:$F$29,MATCH(M9,$K$5:$K$29,0)),"")</x:f>
      </x:c>
    </x:row>
    <x:row r="10">
      <x:c r="A10" t="str">
        <x:v>B</x:v>
      </x:c>
      <x:c r="B10" t="n">
        <x:v>1</x:v>
      </x:c>
      <x:c r="C10" t="n">
        <x:v>7</x:v>
      </x:c>
      <x:c r="D10" t="n">
        <x:f>INDEX(Classifica_Iniziale!$L$5:$L$44,C10)</x:f>
        <x:v>31</x:v>
      </x:c>
      <x:c r="E10" t="str">
        <x:f>INDEX(Classifica_Iniziale!$M$5:$M$44,C10)</x:f>
        <x:v>Anna Angiero</x:v>
      </x:c>
      <x:c r="F10" s="47"/>
      <x:c r="G10" s="47"/>
      <x:c r="H10" s="47"/>
      <x:c r="I10" t="str">
        <x:f>IF(G10="","",IF(G10&lt;=3,"Sì","No"))</x:f>
      </x:c>
      <x:c r="J10" s="47"/>
      <x:c r="K10" t="str">
        <x:f>IF(OR(G10="",G10&gt;3),"",1+SUMPRODUCT(--($G$5:$G$29&lt;G10))+SUMPRODUCT(--($G$5:$G$29=G10),--($F$5:$F$29&lt;F10))+SUMPRODUCT(--($G$5:$G$29=G10),--($F$5:$F$29=F10),--($H$5:$H$29&gt;H10))+SUMPRODUCT(--($G$5:$G$29=G10),--($F$5:$F$29=F10),--($H$5:$H$29=H10),--($C$5:$C$29&lt;C10)))</x:f>
      </x:c>
      <x:c r="M10" t="n">
        <x:v>6</x:v>
      </x:c>
      <x:c r="N10" t="str">
        <x:f>IFERROR(INDEX($D$5:$D$29,MATCH(M10,$K$5:$K$29,0)),"")</x:f>
      </x:c>
      <x:c r="O10" t="str">
        <x:f>IFERROR(INDEX($E$5:$E$29,MATCH(M10,$K$5:$K$29,0)),"")</x:f>
      </x:c>
      <x:c r="P10" t="str">
        <x:f>IFERROR(INDEX($C$5:$C$29,MATCH(M10,$K$5:$K$29,0)),"")</x:f>
      </x:c>
      <x:c r="Q10" t="str">
        <x:f>IFERROR(INDEX($G$5:$G$29,MATCH(M10,$K$5:$K$29,0)),"")</x:f>
      </x:c>
      <x:c r="R10" t="str">
        <x:f>IFERROR(INDEX($F$5:$F$29,MATCH(M10,$K$5:$K$29,0)),"")</x:f>
      </x:c>
    </x:row>
    <x:row r="11">
      <x:c r="A11" t="str">
        <x:v>B</x:v>
      </x:c>
      <x:c r="B11" t="n">
        <x:v>2</x:v>
      </x:c>
      <x:c r="C11" t="n">
        <x:v>14</x:v>
      </x:c>
      <x:c r="D11" t="n">
        <x:f>INDEX(Classifica_Iniziale!$L$5:$L$44,C11)</x:f>
        <x:v>28</x:v>
      </x:c>
      <x:c r="E11" t="str">
        <x:f>INDEX(Classifica_Iniziale!$M$5:$M$44,C11)</x:f>
        <x:v>Ambrosino Raffaele</x:v>
      </x:c>
      <x:c r="F11" s="47"/>
      <x:c r="G11" s="47"/>
      <x:c r="H11" s="47"/>
      <x:c r="I11" t="str">
        <x:f>IF(G11="","",IF(G11&lt;=3,"Sì","No"))</x:f>
      </x:c>
      <x:c r="J11" s="47"/>
      <x:c r="K11" t="str">
        <x:f>IF(OR(G11="",G11&gt;3),"",1+SUMPRODUCT(--($G$5:$G$29&lt;G11))+SUMPRODUCT(--($G$5:$G$29=G11),--($F$5:$F$29&lt;F11))+SUMPRODUCT(--($G$5:$G$29=G11),--($F$5:$F$29=F11),--($H$5:$H$29&gt;H11))+SUMPRODUCT(--($G$5:$G$29=G11),--($F$5:$F$29=F11),--($H$5:$H$29=H11),--($C$5:$C$29&lt;C11)))</x:f>
      </x:c>
      <x:c r="M11" t="n">
        <x:v>7</x:v>
      </x:c>
      <x:c r="N11" t="str">
        <x:f>IFERROR(INDEX($D$5:$D$29,MATCH(M11,$K$5:$K$29,0)),"")</x:f>
      </x:c>
      <x:c r="O11" t="str">
        <x:f>IFERROR(INDEX($E$5:$E$29,MATCH(M11,$K$5:$K$29,0)),"")</x:f>
      </x:c>
      <x:c r="P11" t="str">
        <x:f>IFERROR(INDEX($C$5:$C$29,MATCH(M11,$K$5:$K$29,0)),"")</x:f>
      </x:c>
      <x:c r="Q11" t="str">
        <x:f>IFERROR(INDEX($G$5:$G$29,MATCH(M11,$K$5:$K$29,0)),"")</x:f>
      </x:c>
      <x:c r="R11" t="str">
        <x:f>IFERROR(INDEX($F$5:$F$29,MATCH(M11,$K$5:$K$29,0)),"")</x:f>
      </x:c>
    </x:row>
    <x:row r="12">
      <x:c r="A12" t="str">
        <x:v>B</x:v>
      </x:c>
      <x:c r="B12" t="n">
        <x:v>3</x:v>
      </x:c>
      <x:c r="C12" t="n">
        <x:v>17</x:v>
      </x:c>
      <x:c r="D12" t="n">
        <x:f>INDEX(Classifica_Iniziale!$L$5:$L$44,C12)</x:f>
        <x:v>6</x:v>
      </x:c>
      <x:c r="E12" t="str">
        <x:f>INDEX(Classifica_Iniziale!$M$5:$M$44,C12)</x:f>
        <x:v>Sommese Antonio</x:v>
      </x:c>
      <x:c r="F12" s="47"/>
      <x:c r="G12" s="47"/>
      <x:c r="H12" s="47"/>
      <x:c r="I12" t="str">
        <x:f>IF(G12="","",IF(G12&lt;=3,"Sì","No"))</x:f>
      </x:c>
      <x:c r="J12" s="47"/>
      <x:c r="K12" t="str">
        <x:f>IF(OR(G12="",G12&gt;3),"",1+SUMPRODUCT(--($G$5:$G$29&lt;G12))+SUMPRODUCT(--($G$5:$G$29=G12),--($F$5:$F$29&lt;F12))+SUMPRODUCT(--($G$5:$G$29=G12),--($F$5:$F$29=F12),--($H$5:$H$29&gt;H12))+SUMPRODUCT(--($G$5:$G$29=G12),--($F$5:$F$29=F12),--($H$5:$H$29=H12),--($C$5:$C$29&lt;C12)))</x:f>
      </x:c>
      <x:c r="M12" t="n">
        <x:v>8</x:v>
      </x:c>
      <x:c r="N12" t="str">
        <x:f>IFERROR(INDEX($D$5:$D$29,MATCH(M12,$K$5:$K$29,0)),"")</x:f>
      </x:c>
      <x:c r="O12" t="str">
        <x:f>IFERROR(INDEX($E$5:$E$29,MATCH(M12,$K$5:$K$29,0)),"")</x:f>
      </x:c>
      <x:c r="P12" t="str">
        <x:f>IFERROR(INDEX($C$5:$C$29,MATCH(M12,$K$5:$K$29,0)),"")</x:f>
      </x:c>
      <x:c r="Q12" t="str">
        <x:f>IFERROR(INDEX($G$5:$G$29,MATCH(M12,$K$5:$K$29,0)),"")</x:f>
      </x:c>
      <x:c r="R12" t="str">
        <x:f>IFERROR(INDEX($F$5:$F$29,MATCH(M12,$K$5:$K$29,0)),"")</x:f>
      </x:c>
    </x:row>
    <x:row r="13">
      <x:c r="A13" t="str">
        <x:v>B</x:v>
      </x:c>
      <x:c r="B13" t="n">
        <x:v>4</x:v>
      </x:c>
      <x:c r="C13" t="n">
        <x:v>24</x:v>
      </x:c>
      <x:c r="D13" t="n">
        <x:f>INDEX(Classifica_Iniziale!$L$5:$L$44,C13)</x:f>
        <x:v>3</x:v>
      </x:c>
      <x:c r="E13" t="str">
        <x:f>INDEX(Classifica_Iniziale!$M$5:$M$44,C13)</x:f>
        <x:v>Beracci Lucio</x:v>
      </x:c>
      <x:c r="F13" s="47"/>
      <x:c r="G13" s="47"/>
      <x:c r="H13" s="47"/>
      <x:c r="I13" t="str">
        <x:f>IF(G13="","",IF(G13&lt;=3,"Sì","No"))</x:f>
      </x:c>
      <x:c r="J13" s="47"/>
      <x:c r="K13" t="str">
        <x:f>IF(OR(G13="",G13&gt;3),"",1+SUMPRODUCT(--($G$5:$G$29&lt;G13))+SUMPRODUCT(--($G$5:$G$29=G13),--($F$5:$F$29&lt;F13))+SUMPRODUCT(--($G$5:$G$29=G13),--($F$5:$F$29=F13),--($H$5:$H$29&gt;H13))+SUMPRODUCT(--($G$5:$G$29=G13),--($F$5:$F$29=F13),--($H$5:$H$29=H13),--($C$5:$C$29&lt;C13)))</x:f>
      </x:c>
      <x:c r="M13" t="n">
        <x:v>9</x:v>
      </x:c>
      <x:c r="N13" t="str">
        <x:f>IFERROR(INDEX($D$5:$D$29,MATCH(M13,$K$5:$K$29,0)),"")</x:f>
      </x:c>
      <x:c r="O13" t="str">
        <x:f>IFERROR(INDEX($E$5:$E$29,MATCH(M13,$K$5:$K$29,0)),"")</x:f>
      </x:c>
      <x:c r="P13" t="str">
        <x:f>IFERROR(INDEX($C$5:$C$29,MATCH(M13,$K$5:$K$29,0)),"")</x:f>
      </x:c>
      <x:c r="Q13" t="str">
        <x:f>IFERROR(INDEX($G$5:$G$29,MATCH(M13,$K$5:$K$29,0)),"")</x:f>
      </x:c>
      <x:c r="R13" t="str">
        <x:f>IFERROR(INDEX($F$5:$F$29,MATCH(M13,$K$5:$K$29,0)),"")</x:f>
      </x:c>
    </x:row>
    <x:row r="14">
      <x:c r="A14" t="str">
        <x:v>B</x:v>
      </x:c>
      <x:c r="B14" t="n">
        <x:v>5</x:v>
      </x:c>
      <x:c r="C14" t="n">
        <x:v>27</x:v>
      </x:c>
      <x:c r="D14" t="n">
        <x:f>INDEX(Classifica_Iniziale!$L$5:$L$44,C14)</x:f>
        <x:v>22</x:v>
      </x:c>
      <x:c r="E14" t="str">
        <x:f>INDEX(Classifica_Iniziale!$M$5:$M$44,C14)</x:f>
        <x:v>Michele Zappone</x:v>
      </x:c>
      <x:c r="F14" s="47"/>
      <x:c r="G14" s="47"/>
      <x:c r="H14" s="47"/>
      <x:c r="I14" t="str">
        <x:f>IF(G14="","",IF(G14&lt;=3,"Sì","No"))</x:f>
      </x:c>
      <x:c r="J14" s="47"/>
      <x:c r="K14" t="str">
        <x:f>IF(OR(G14="",G14&gt;3),"",1+SUMPRODUCT(--($G$5:$G$29&lt;G14))+SUMPRODUCT(--($G$5:$G$29=G14),--($F$5:$F$29&lt;F14))+SUMPRODUCT(--($G$5:$G$29=G14),--($F$5:$F$29=F14),--($H$5:$H$29&gt;H14))+SUMPRODUCT(--($G$5:$G$29=G14),--($F$5:$F$29=F14),--($H$5:$H$29=H14),--($C$5:$C$29&lt;C14)))</x:f>
      </x:c>
      <x:c r="M14" t="n">
        <x:v>10</x:v>
      </x:c>
      <x:c r="N14" t="str">
        <x:f>IFERROR(INDEX($D$5:$D$29,MATCH(M14,$K$5:$K$29,0)),"")</x:f>
      </x:c>
      <x:c r="O14" t="str">
        <x:f>IFERROR(INDEX($E$5:$E$29,MATCH(M14,$K$5:$K$29,0)),"")</x:f>
      </x:c>
      <x:c r="P14" t="str">
        <x:f>IFERROR(INDEX($C$5:$C$29,MATCH(M14,$K$5:$K$29,0)),"")</x:f>
      </x:c>
      <x:c r="Q14" t="str">
        <x:f>IFERROR(INDEX($G$5:$G$29,MATCH(M14,$K$5:$K$29,0)),"")</x:f>
      </x:c>
      <x:c r="R14" t="str">
        <x:f>IFERROR(INDEX($F$5:$F$29,MATCH(M14,$K$5:$K$29,0)),"")</x:f>
      </x:c>
    </x:row>
    <x:row r="15">
      <x:c r="A15" t="str">
        <x:v>C</x:v>
      </x:c>
      <x:c r="B15" t="n">
        <x:v>1</x:v>
      </x:c>
      <x:c r="C15" t="n">
        <x:v>8</x:v>
      </x:c>
      <x:c r="D15" t="n">
        <x:f>INDEX(Classifica_Iniziale!$L$5:$L$44,C15)</x:f>
        <x:v>30</x:v>
      </x:c>
      <x:c r="E15" t="str">
        <x:f>INDEX(Classifica_Iniziale!$M$5:$M$44,C15)</x:f>
        <x:v>Mauro Raffaele</x:v>
      </x:c>
      <x:c r="F15" s="47"/>
      <x:c r="G15" s="47"/>
      <x:c r="H15" s="47"/>
      <x:c r="I15" t="str">
        <x:f>IF(G15="","",IF(G15&lt;=3,"Sì","No"))</x:f>
      </x:c>
      <x:c r="J15" s="47"/>
      <x:c r="K15" t="str">
        <x:f>IF(OR(G15="",G15&gt;3),"",1+SUMPRODUCT(--($G$5:$G$29&lt;G15))+SUMPRODUCT(--($G$5:$G$29=G15),--($F$5:$F$29&lt;F15))+SUMPRODUCT(--($G$5:$G$29=G15),--($F$5:$F$29=F15),--($H$5:$H$29&gt;H15))+SUMPRODUCT(--($G$5:$G$29=G15),--($F$5:$F$29=F15),--($H$5:$H$29=H15),--($C$5:$C$29&lt;C15)))</x:f>
      </x:c>
      <x:c r="M15" t="n">
        <x:v>11</x:v>
      </x:c>
      <x:c r="N15" t="str">
        <x:f>IFERROR(INDEX($D$5:$D$29,MATCH(M15,$K$5:$K$29,0)),"")</x:f>
      </x:c>
      <x:c r="O15" t="str">
        <x:f>IFERROR(INDEX($E$5:$E$29,MATCH(M15,$K$5:$K$29,0)),"")</x:f>
      </x:c>
      <x:c r="P15" t="str">
        <x:f>IFERROR(INDEX($C$5:$C$29,MATCH(M15,$K$5:$K$29,0)),"")</x:f>
      </x:c>
      <x:c r="Q15" t="str">
        <x:f>IFERROR(INDEX($G$5:$G$29,MATCH(M15,$K$5:$K$29,0)),"")</x:f>
      </x:c>
      <x:c r="R15" t="str">
        <x:f>IFERROR(INDEX($F$5:$F$29,MATCH(M15,$K$5:$K$29,0)),"")</x:f>
      </x:c>
    </x:row>
    <x:row r="16">
      <x:c r="A16" t="str">
        <x:v>C</x:v>
      </x:c>
      <x:c r="B16" t="n">
        <x:v>2</x:v>
      </x:c>
      <x:c r="C16" t="n">
        <x:v>13</x:v>
      </x:c>
      <x:c r="D16" t="n">
        <x:f>INDEX(Classifica_Iniziale!$L$5:$L$44,C16)</x:f>
        <x:v>23</x:v>
      </x:c>
      <x:c r="E16" t="str">
        <x:f>INDEX(Classifica_Iniziale!$M$5:$M$44,C16)</x:f>
        <x:v>Amato Alessandro</x:v>
      </x:c>
      <x:c r="F16" s="47"/>
      <x:c r="G16" s="47"/>
      <x:c r="H16" s="47"/>
      <x:c r="I16" t="str">
        <x:f>IF(G16="","",IF(G16&lt;=3,"Sì","No"))</x:f>
      </x:c>
      <x:c r="J16" s="47"/>
      <x:c r="K16" t="str">
        <x:f>IF(OR(G16="",G16&gt;3),"",1+SUMPRODUCT(--($G$5:$G$29&lt;G16))+SUMPRODUCT(--($G$5:$G$29=G16),--($F$5:$F$29&lt;F16))+SUMPRODUCT(--($G$5:$G$29=G16),--($F$5:$F$29=F16),--($H$5:$H$29&gt;H16))+SUMPRODUCT(--($G$5:$G$29=G16),--($F$5:$F$29=F16),--($H$5:$H$29=H16),--($C$5:$C$29&lt;C16)))</x:f>
      </x:c>
      <x:c r="M16" t="n">
        <x:v>12</x:v>
      </x:c>
      <x:c r="N16" t="str">
        <x:f>IFERROR(INDEX($D$5:$D$29,MATCH(M16,$K$5:$K$29,0)),"")</x:f>
      </x:c>
      <x:c r="O16" t="str">
        <x:f>IFERROR(INDEX($E$5:$E$29,MATCH(M16,$K$5:$K$29,0)),"")</x:f>
      </x:c>
      <x:c r="P16" t="str">
        <x:f>IFERROR(INDEX($C$5:$C$29,MATCH(M16,$K$5:$K$29,0)),"")</x:f>
      </x:c>
      <x:c r="Q16" t="str">
        <x:f>IFERROR(INDEX($G$5:$G$29,MATCH(M16,$K$5:$K$29,0)),"")</x:f>
      </x:c>
      <x:c r="R16" t="str">
        <x:f>IFERROR(INDEX($F$5:$F$29,MATCH(M16,$K$5:$K$29,0)),"")</x:f>
      </x:c>
    </x:row>
    <x:row r="17">
      <x:c r="A17" t="str">
        <x:v>C</x:v>
      </x:c>
      <x:c r="B17" t="n">
        <x:v>3</x:v>
      </x:c>
      <x:c r="C17" t="n">
        <x:v>18</x:v>
      </x:c>
      <x:c r="D17" t="n">
        <x:f>INDEX(Classifica_Iniziale!$L$5:$L$44,C17)</x:f>
        <x:v>35</x:v>
      </x:c>
      <x:c r="E17" t="str">
        <x:f>INDEX(Classifica_Iniziale!$M$5:$M$44,C17)</x:f>
        <x:v>Napolitano Raffaele</x:v>
      </x:c>
      <x:c r="F17" s="47"/>
      <x:c r="G17" s="47"/>
      <x:c r="H17" s="47"/>
      <x:c r="I17" t="str">
        <x:f>IF(G17="","",IF(G17&lt;=3,"Sì","No"))</x:f>
      </x:c>
      <x:c r="J17" s="47"/>
      <x:c r="K17" t="str">
        <x:f>IF(OR(G17="",G17&gt;3),"",1+SUMPRODUCT(--($G$5:$G$29&lt;G17))+SUMPRODUCT(--($G$5:$G$29=G17),--($F$5:$F$29&lt;F17))+SUMPRODUCT(--($G$5:$G$29=G17),--($F$5:$F$29=F17),--($H$5:$H$29&gt;H17))+SUMPRODUCT(--($G$5:$G$29=G17),--($F$5:$F$29=F17),--($H$5:$H$29=H17),--($C$5:$C$29&lt;C17)))</x:f>
      </x:c>
      <x:c r="M17" t="n">
        <x:v>13</x:v>
      </x:c>
      <x:c r="N17" t="str">
        <x:f>IFERROR(INDEX($D$5:$D$29,MATCH(M17,$K$5:$K$29,0)),"")</x:f>
      </x:c>
      <x:c r="O17" t="str">
        <x:f>IFERROR(INDEX($E$5:$E$29,MATCH(M17,$K$5:$K$29,0)),"")</x:f>
      </x:c>
      <x:c r="P17" t="str">
        <x:f>IFERROR(INDEX($C$5:$C$29,MATCH(M17,$K$5:$K$29,0)),"")</x:f>
      </x:c>
      <x:c r="Q17" t="str">
        <x:f>IFERROR(INDEX($G$5:$G$29,MATCH(M17,$K$5:$K$29,0)),"")</x:f>
      </x:c>
      <x:c r="R17" t="str">
        <x:f>IFERROR(INDEX($F$5:$F$29,MATCH(M17,$K$5:$K$29,0)),"")</x:f>
      </x:c>
    </x:row>
    <x:row r="18">
      <x:c r="A18" t="str">
        <x:v>C</x:v>
      </x:c>
      <x:c r="B18" t="n">
        <x:v>4</x:v>
      </x:c>
      <x:c r="C18" t="n">
        <x:v>23</x:v>
      </x:c>
      <x:c r="D18" t="n">
        <x:f>INDEX(Classifica_Iniziale!$L$5:$L$44,C18)</x:f>
        <x:v>4</x:v>
      </x:c>
      <x:c r="E18" t="str">
        <x:f>INDEX(Classifica_Iniziale!$M$5:$M$44,C18)</x:f>
        <x:v>Annunziata Michele</x:v>
      </x:c>
      <x:c r="F18" s="47"/>
      <x:c r="G18" s="47"/>
      <x:c r="H18" s="47"/>
      <x:c r="I18" t="str">
        <x:f>IF(G18="","",IF(G18&lt;=3,"Sì","No"))</x:f>
      </x:c>
      <x:c r="J18" s="47"/>
      <x:c r="K18" t="str">
        <x:f>IF(OR(G18="",G18&gt;3),"",1+SUMPRODUCT(--($G$5:$G$29&lt;G18))+SUMPRODUCT(--($G$5:$G$29=G18),--($F$5:$F$29&lt;F18))+SUMPRODUCT(--($G$5:$G$29=G18),--($F$5:$F$29=F18),--($H$5:$H$29&gt;H18))+SUMPRODUCT(--($G$5:$G$29=G18),--($F$5:$F$29=F18),--($H$5:$H$29=H18),--($C$5:$C$29&lt;C18)))</x:f>
      </x:c>
      <x:c r="M18" t="n">
        <x:v>14</x:v>
      </x:c>
      <x:c r="N18" t="str">
        <x:f>IFERROR(INDEX($D$5:$D$29,MATCH(M18,$K$5:$K$29,0)),"")</x:f>
      </x:c>
      <x:c r="O18" t="str">
        <x:f>IFERROR(INDEX($E$5:$E$29,MATCH(M18,$K$5:$K$29,0)),"")</x:f>
      </x:c>
      <x:c r="P18" t="str">
        <x:f>IFERROR(INDEX($C$5:$C$29,MATCH(M18,$K$5:$K$29,0)),"")</x:f>
      </x:c>
      <x:c r="Q18" t="str">
        <x:f>IFERROR(INDEX($G$5:$G$29,MATCH(M18,$K$5:$K$29,0)),"")</x:f>
      </x:c>
      <x:c r="R18" t="str">
        <x:f>IFERROR(INDEX($F$5:$F$29,MATCH(M18,$K$5:$K$29,0)),"")</x:f>
      </x:c>
    </x:row>
    <x:row r="19">
      <x:c r="A19" t="str">
        <x:v>C</x:v>
      </x:c>
      <x:c r="B19" t="n">
        <x:v>5</x:v>
      </x:c>
      <x:c r="C19" t="n">
        <x:v>28</x:v>
      </x:c>
      <x:c r="D19" t="n">
        <x:f>INDEX(Classifica_Iniziale!$L$5:$L$44,C19)</x:f>
        <x:v>17</x:v>
      </x:c>
      <x:c r="E19" t="str">
        <x:f>INDEX(Classifica_Iniziale!$M$5:$M$44,C19)</x:f>
        <x:v>Scogliamiglio Alfredo</x:v>
      </x:c>
      <x:c r="F19" s="47"/>
      <x:c r="G19" s="47"/>
      <x:c r="H19" s="47"/>
      <x:c r="I19" t="str">
        <x:f>IF(G19="","",IF(G19&lt;=3,"Sì","No"))</x:f>
      </x:c>
      <x:c r="J19" s="47"/>
      <x:c r="K19" t="str">
        <x:f>IF(OR(G19="",G19&gt;3),"",1+SUMPRODUCT(--($G$5:$G$29&lt;G19))+SUMPRODUCT(--($G$5:$G$29=G19),--($F$5:$F$29&lt;F19))+SUMPRODUCT(--($G$5:$G$29=G19),--($F$5:$F$29=F19),--($H$5:$H$29&gt;H19))+SUMPRODUCT(--($G$5:$G$29=G19),--($F$5:$F$29=F19),--($H$5:$H$29=H19),--($C$5:$C$29&lt;C19)))</x:f>
      </x:c>
      <x:c r="M19" t="n">
        <x:v>15</x:v>
      </x:c>
      <x:c r="N19" t="str">
        <x:f>IFERROR(INDEX($D$5:$D$29,MATCH(M19,$K$5:$K$29,0)),"")</x:f>
      </x:c>
      <x:c r="O19" t="str">
        <x:f>IFERROR(INDEX($E$5:$E$29,MATCH(M19,$K$5:$K$29,0)),"")</x:f>
      </x:c>
      <x:c r="P19" t="str">
        <x:f>IFERROR(INDEX($C$5:$C$29,MATCH(M19,$K$5:$K$29,0)),"")</x:f>
      </x:c>
      <x:c r="Q19" t="str">
        <x:f>IFERROR(INDEX($G$5:$G$29,MATCH(M19,$K$5:$K$29,0)),"")</x:f>
      </x:c>
      <x:c r="R19" t="str">
        <x:f>IFERROR(INDEX($F$5:$F$29,MATCH(M19,$K$5:$K$29,0)),"")</x:f>
      </x:c>
    </x:row>
    <x:row r="20">
      <x:c r="A20" t="str">
        <x:v>D</x:v>
      </x:c>
      <x:c r="B20" t="n">
        <x:v>1</x:v>
      </x:c>
      <x:c r="C20" t="n">
        <x:v>9</x:v>
      </x:c>
      <x:c r="D20" t="n">
        <x:f>INDEX(Classifica_Iniziale!$L$5:$L$44,C20)</x:f>
        <x:v>5</x:v>
      </x:c>
      <x:c r="E20" t="str">
        <x:f>INDEX(Classifica_Iniziale!$M$5:$M$44,C20)</x:f>
        <x:v>La Marca Carlo</x:v>
      </x:c>
      <x:c r="F20" s="47"/>
      <x:c r="G20" s="47"/>
      <x:c r="H20" s="47"/>
      <x:c r="I20" t="str">
        <x:f>IF(G20="","",IF(G20&lt;=3,"Sì","No"))</x:f>
      </x:c>
      <x:c r="J20" s="47"/>
      <x:c r="K20" t="str">
        <x:f>IF(OR(G20="",G20&gt;3),"",1+SUMPRODUCT(--($G$5:$G$29&lt;G20))+SUMPRODUCT(--($G$5:$G$29=G20),--($F$5:$F$29&lt;F20))+SUMPRODUCT(--($G$5:$G$29=G20),--($F$5:$F$29=F20),--($H$5:$H$29&gt;H20))+SUMPRODUCT(--($G$5:$G$29=G20),--($F$5:$F$29=F20),--($H$5:$H$29=H20),--($C$5:$C$29&lt;C20)))</x:f>
      </x:c>
    </x:row>
    <x:row r="21">
      <x:c r="A21" t="str">
        <x:v>D</x:v>
      </x:c>
      <x:c r="B21" t="n">
        <x:v>2</x:v>
      </x:c>
      <x:c r="C21" t="n">
        <x:v>12</x:v>
      </x:c>
      <x:c r="D21" t="n">
        <x:f>INDEX(Classifica_Iniziale!$L$5:$L$44,C21)</x:f>
        <x:v>11</x:v>
      </x:c>
      <x:c r="E21" t="str">
        <x:f>INDEX(Classifica_Iniziale!$M$5:$M$44,C21)</x:f>
        <x:v>Moccia Biagio</x:v>
      </x:c>
      <x:c r="F21" s="47"/>
      <x:c r="G21" s="47"/>
      <x:c r="H21" s="47"/>
      <x:c r="I21" t="str">
        <x:f>IF(G21="","",IF(G21&lt;=3,"Sì","No"))</x:f>
      </x:c>
      <x:c r="J21" s="47"/>
      <x:c r="K21" t="str">
        <x:f>IF(OR(G21="",G21&gt;3),"",1+SUMPRODUCT(--($G$5:$G$29&lt;G21))+SUMPRODUCT(--($G$5:$G$29=G21),--($F$5:$F$29&lt;F21))+SUMPRODUCT(--($G$5:$G$29=G21),--($F$5:$F$29=F21),--($H$5:$H$29&gt;H21))+SUMPRODUCT(--($G$5:$G$29=G21),--($F$5:$F$29=F21),--($H$5:$H$29=H21),--($C$5:$C$29&lt;C21)))</x:f>
      </x:c>
    </x:row>
    <x:row r="22">
      <x:c r="A22" t="str">
        <x:v>D</x:v>
      </x:c>
      <x:c r="B22" t="n">
        <x:v>3</x:v>
      </x:c>
      <x:c r="C22" t="n">
        <x:v>19</x:v>
      </x:c>
      <x:c r="D22" t="n">
        <x:f>INDEX(Classifica_Iniziale!$L$5:$L$44,C22)</x:f>
        <x:v>14</x:v>
      </x:c>
      <x:c r="E22" t="str">
        <x:f>INDEX(Classifica_Iniziale!$M$5:$M$44,C22)</x:f>
        <x:v>Botta Francesco</x:v>
      </x:c>
      <x:c r="F22" s="47"/>
      <x:c r="G22" s="47"/>
      <x:c r="H22" s="47"/>
      <x:c r="I22" t="str">
        <x:f>IF(G22="","",IF(G22&lt;=3,"Sì","No"))</x:f>
      </x:c>
      <x:c r="J22" s="47"/>
      <x:c r="K22" t="str">
        <x:f>IF(OR(G22="",G22&gt;3),"",1+SUMPRODUCT(--($G$5:$G$29&lt;G22))+SUMPRODUCT(--($G$5:$G$29=G22),--($F$5:$F$29&lt;F22))+SUMPRODUCT(--($G$5:$G$29=G22),--($F$5:$F$29=F22),--($H$5:$H$29&gt;H22))+SUMPRODUCT(--($G$5:$G$29=G22),--($F$5:$F$29=F22),--($H$5:$H$29=H22),--($C$5:$C$29&lt;C22)))</x:f>
      </x:c>
    </x:row>
    <x:row r="23">
      <x:c r="A23" t="str">
        <x:v>D</x:v>
      </x:c>
      <x:c r="B23" t="n">
        <x:v>4</x:v>
      </x:c>
      <x:c r="C23" t="n">
        <x:v>22</x:v>
      </x:c>
      <x:c r="D23" t="n">
        <x:f>INDEX(Classifica_Iniziale!$L$5:$L$44,C23)</x:f>
        <x:v>32</x:v>
      </x:c>
      <x:c r="E23" t="str">
        <x:f>INDEX(Classifica_Iniziale!$M$5:$M$44,C23)</x:f>
        <x:v>Notaro Giacomo</x:v>
      </x:c>
      <x:c r="F23" s="47"/>
      <x:c r="G23" s="47"/>
      <x:c r="H23" s="47"/>
      <x:c r="I23" t="str">
        <x:f>IF(G23="","",IF(G23&lt;=3,"Sì","No"))</x:f>
      </x:c>
      <x:c r="J23" s="47"/>
      <x:c r="K23" t="str">
        <x:f>IF(OR(G23="",G23&gt;3),"",1+SUMPRODUCT(--($G$5:$G$29&lt;G23))+SUMPRODUCT(--($G$5:$G$29=G23),--($F$5:$F$29&lt;F23))+SUMPRODUCT(--($G$5:$G$29=G23),--($F$5:$F$29=F23),--($H$5:$H$29&gt;H23))+SUMPRODUCT(--($G$5:$G$29=G23),--($F$5:$F$29=F23),--($H$5:$H$29=H23),--($C$5:$C$29&lt;C23)))</x:f>
      </x:c>
    </x:row>
    <x:row r="24">
      <x:c r="A24" t="str">
        <x:v>D</x:v>
      </x:c>
      <x:c r="B24" t="n">
        <x:v>5</x:v>
      </x:c>
      <x:c r="C24" t="n">
        <x:v>29</x:v>
      </x:c>
      <x:c r="D24" t="n">
        <x:f>INDEX(Classifica_Iniziale!$L$5:$L$44,C24)</x:f>
        <x:v>38</x:v>
      </x:c>
      <x:c r="E24" t="str">
        <x:f>INDEX(Classifica_Iniziale!$M$5:$M$44,C24)</x:f>
        <x:v>Giuseppe Pierro</x:v>
      </x:c>
      <x:c r="F24" s="47"/>
      <x:c r="G24" s="47"/>
      <x:c r="H24" s="47"/>
      <x:c r="I24" t="str">
        <x:f>IF(G24="","",IF(G24&lt;=3,"Sì","No"))</x:f>
      </x:c>
      <x:c r="J24" s="47"/>
      <x:c r="K24" t="str">
        <x:f>IF(OR(G24="",G24&gt;3),"",1+SUMPRODUCT(--($G$5:$G$29&lt;G24))+SUMPRODUCT(--($G$5:$G$29=G24),--($F$5:$F$29&lt;F24))+SUMPRODUCT(--($G$5:$G$29=G24),--($F$5:$F$29=F24),--($H$5:$H$29&gt;H24))+SUMPRODUCT(--($G$5:$G$29=G24),--($F$5:$F$29=F24),--($H$5:$H$29=H24),--($C$5:$C$29&lt;C24)))</x:f>
      </x:c>
    </x:row>
    <x:row r="25">
      <x:c r="A25" t="str">
        <x:v>E</x:v>
      </x:c>
      <x:c r="B25" t="n">
        <x:v>1</x:v>
      </x:c>
      <x:c r="C25" t="n">
        <x:v>10</x:v>
      </x:c>
      <x:c r="D25" t="n">
        <x:f>INDEX(Classifica_Iniziale!$L$5:$L$44,C25)</x:f>
        <x:v>37</x:v>
      </x:c>
      <x:c r="E25" t="str">
        <x:f>INDEX(Classifica_Iniziale!$M$5:$M$44,C25)</x:f>
        <x:v>Annunziata Raffaele</x:v>
      </x:c>
      <x:c r="F25" s="47"/>
      <x:c r="G25" s="47"/>
      <x:c r="H25" s="47"/>
      <x:c r="I25" t="str">
        <x:f>IF(G25="","",IF(G25&lt;=3,"Sì","No"))</x:f>
      </x:c>
      <x:c r="J25" s="47"/>
      <x:c r="K25" t="str">
        <x:f>IF(OR(G25="",G25&gt;3),"",1+SUMPRODUCT(--($G$5:$G$29&lt;G25))+SUMPRODUCT(--($G$5:$G$29=G25),--($F$5:$F$29&lt;F25))+SUMPRODUCT(--($G$5:$G$29=G25),--($F$5:$F$29=F25),--($H$5:$H$29&gt;H25))+SUMPRODUCT(--($G$5:$G$29=G25),--($F$5:$F$29=F25),--($H$5:$H$29=H25),--($C$5:$C$29&lt;C25)))</x:f>
      </x:c>
    </x:row>
    <x:row r="26">
      <x:c r="A26" t="str">
        <x:v>E</x:v>
      </x:c>
      <x:c r="B26" t="n">
        <x:v>2</x:v>
      </x:c>
      <x:c r="C26" t="n">
        <x:v>11</x:v>
      </x:c>
      <x:c r="D26" t="n">
        <x:f>INDEX(Classifica_Iniziale!$L$5:$L$44,C26)</x:f>
        <x:v>39</x:v>
      </x:c>
      <x:c r="E26" t="str">
        <x:f>INDEX(Classifica_Iniziale!$M$5:$M$44,C26)</x:f>
        <x:v>La Marca Pasquale</x:v>
      </x:c>
      <x:c r="F26" s="47"/>
      <x:c r="G26" s="47"/>
      <x:c r="H26" s="47"/>
      <x:c r="I26" t="str">
        <x:f>IF(G26="","",IF(G26&lt;=3,"Sì","No"))</x:f>
      </x:c>
      <x:c r="J26" s="47"/>
      <x:c r="K26" t="str">
        <x:f>IF(OR(G26="",G26&gt;3),"",1+SUMPRODUCT(--($G$5:$G$29&lt;G26))+SUMPRODUCT(--($G$5:$G$29=G26),--($F$5:$F$29&lt;F26))+SUMPRODUCT(--($G$5:$G$29=G26),--($F$5:$F$29=F26),--($H$5:$H$29&gt;H26))+SUMPRODUCT(--($G$5:$G$29=G26),--($F$5:$F$29=F26),--($H$5:$H$29=H26),--($C$5:$C$29&lt;C26)))</x:f>
      </x:c>
    </x:row>
    <x:row r="27">
      <x:c r="A27" t="str">
        <x:v>E</x:v>
      </x:c>
      <x:c r="B27" t="n">
        <x:v>3</x:v>
      </x:c>
      <x:c r="C27" t="n">
        <x:v>20</x:v>
      </x:c>
      <x:c r="D27" t="n">
        <x:f>INDEX(Classifica_Iniziale!$L$5:$L$44,C27)</x:f>
        <x:v>33</x:v>
      </x:c>
      <x:c r="E27" t="str">
        <x:f>INDEX(Classifica_Iniziale!$M$5:$M$44,C27)</x:f>
        <x:v>Nappi Nestore</x:v>
      </x:c>
      <x:c r="F27" s="47"/>
      <x:c r="G27" s="47"/>
      <x:c r="H27" s="47"/>
      <x:c r="I27" t="str">
        <x:f>IF(G27="","",IF(G27&lt;=3,"Sì","No"))</x:f>
      </x:c>
      <x:c r="J27" s="47"/>
      <x:c r="K27" t="str">
        <x:f>IF(OR(G27="",G27&gt;3),"",1+SUMPRODUCT(--($G$5:$G$29&lt;G27))+SUMPRODUCT(--($G$5:$G$29=G27),--($F$5:$F$29&lt;F27))+SUMPRODUCT(--($G$5:$G$29=G27),--($F$5:$F$29=F27),--($H$5:$H$29&gt;H27))+SUMPRODUCT(--($G$5:$G$29=G27),--($F$5:$F$29=F27),--($H$5:$H$29=H27),--($C$5:$C$29&lt;C27)))</x:f>
      </x:c>
    </x:row>
    <x:row r="28">
      <x:c r="A28" t="str">
        <x:v>E</x:v>
      </x:c>
      <x:c r="B28" t="n">
        <x:v>4</x:v>
      </x:c>
      <x:c r="C28" t="n">
        <x:v>21</x:v>
      </x:c>
      <x:c r="D28" t="n">
        <x:f>INDEX(Classifica_Iniziale!$L$5:$L$44,C28)</x:f>
        <x:v>9</x:v>
      </x:c>
      <x:c r="E28" t="str">
        <x:f>INDEX(Classifica_Iniziale!$M$5:$M$44,C28)</x:f>
        <x:v>Atria Gregorio</x:v>
      </x:c>
      <x:c r="F28" s="47"/>
      <x:c r="G28" s="47"/>
      <x:c r="H28" s="47"/>
      <x:c r="I28" t="str">
        <x:f>IF(G28="","",IF(G28&lt;=3,"Sì","No"))</x:f>
      </x:c>
      <x:c r="J28" s="47"/>
      <x:c r="K28" t="str">
        <x:f>IF(OR(G28="",G28&gt;3),"",1+SUMPRODUCT(--($G$5:$G$29&lt;G28))+SUMPRODUCT(--($G$5:$G$29=G28),--($F$5:$F$29&lt;F28))+SUMPRODUCT(--($G$5:$G$29=G28),--($F$5:$F$29=F28),--($H$5:$H$29&gt;H28))+SUMPRODUCT(--($G$5:$G$29=G28),--($F$5:$F$29=F28),--($H$5:$H$29=H28),--($C$5:$C$29&lt;C28)))</x:f>
      </x:c>
    </x:row>
    <x:row r="29">
      <x:c r="A29" t="str">
        <x:v>E</x:v>
      </x:c>
      <x:c r="B29" t="n">
        <x:v>5</x:v>
      </x:c>
      <x:c r="C29" t="n">
        <x:v>30</x:v>
      </x:c>
      <x:c r="D29" t="n">
        <x:f>INDEX(Classifica_Iniziale!$L$5:$L$44,C29)</x:f>
        <x:v>25</x:v>
      </x:c>
      <x:c r="E29" t="str">
        <x:f>INDEX(Classifica_Iniziale!$M$5:$M$44,C29)</x:f>
        <x:v>Fontanella Giuseppe</x:v>
      </x:c>
      <x:c r="F29" s="47"/>
      <x:c r="G29" s="47"/>
      <x:c r="H29" s="47"/>
      <x:c r="I29" t="str">
        <x:f>IF(G29="","",IF(G29&lt;=3,"Sì","No"))</x:f>
      </x:c>
      <x:c r="J29" s="47"/>
      <x:c r="K29" t="str">
        <x:f>IF(OR(G29="",G29&gt;3),"",1+SUMPRODUCT(--($G$5:$G$29&lt;G29))+SUMPRODUCT(--($G$5:$G$29=G29),--($F$5:$F$29&lt;F29))+SUMPRODUCT(--($G$5:$G$29=G29),--($F$5:$F$29=F29),--($H$5:$H$29&gt;H29))+SUMPRODUCT(--($G$5:$G$29=G29),--($F$5:$F$29=F29),--($H$5:$H$29=H29),--($C$5:$C$29&lt;C29)))</x:f>
      </x:c>
    </x:row>
  </x:sheetData>
  <x:mergeCells>
    <x:mergeCell ref="A1:J1"/>
    <x:mergeCell ref="M1:R1"/>
  </x:mergeCells>
  <x:conditionalFormatting sqref="I5:I29">
    <x:cfRule type="expression" dxfId="0" priority="1">
      <x:formula>I5="Sì"</x:formula>
    </x:cfRule>
  </x:conditionalFormatting>
  <x:dataValidations count="1">
    <x:dataValidation type="list" sqref="G5:G29">
      <x:formula1>"1,2,3,4,5"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10" hidden="0" customWidth="1"/>
    <x:col min="4" max="4" width="12" hidden="0" customWidth="1"/>
    <x:col min="5" max="5" width="23" hidden="0" customWidth="1"/>
    <x:col min="6" max="6" width="12" hidden="0" customWidth="1"/>
    <x:col min="7" max="7" width="13" hidden="0" customWidth="1"/>
    <x:col min="8" max="8" width="10" hidden="0" customWidth="1"/>
    <x:col min="9" max="9" width="8" hidden="0" customWidth="1"/>
    <x:col min="10" max="10" width="20" hidden="0" customWidth="1"/>
    <x:col min="11" max="11" width="12" hidden="0" customWidth="1"/>
    <x:col min="12" max="12" width="10" hidden="0" customWidth="1"/>
    <x:col min="13" max="13" width="10" hidden="0" customWidth="1"/>
    <x:col min="15" max="15" width="9" hidden="0" customWidth="1"/>
    <x:col min="16" max="16" width="9" hidden="0" customWidth="1"/>
    <x:col min="17" max="17" width="23" hidden="0" customWidth="1"/>
  </x:cols>
  <x:sheetData>
    <x:row r="1">
      <x:c r="A1" s="42" t="str">
        <x:v>FASE FINALE — TURNO 2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 t="str">
        <x:v>10 QUALIFICATI — ORDINE</x:v>
      </x:c>
      <x:c r="P1" s="42"/>
      <x:c r="Q1" s="42"/>
    </x:row>
    <x:row r="2">
      <x:c r="A2" t="str">
        <x:v>15 qualificati dal Turno 1 + primi 5 della classifica iniziale. Passano i primi 2 di ogni tavolo e i 2 migliori terzi.</x:v>
      </x:c>
    </x:row>
    <x:row r="4">
      <x:c r="A4" s="46" t="str">
        <x:v>Tavolo</x:v>
      </x:c>
      <x:c r="B4" s="46" t="str">
        <x:v>Sedia</x:v>
      </x:c>
      <x:c r="C4" s="46" t="str">
        <x:v>Seed T2</x:v>
      </x:c>
      <x:c r="D4" s="46" t="str">
        <x:v>Giocatore ID</x:v>
      </x:c>
      <x:c r="E4" s="46" t="str">
        <x:v>Nome</x:v>
      </x:c>
      <x:c r="F4" s="46" t="str">
        <x:v>Seed iniziale</x:v>
      </x:c>
      <x:c r="G4" s="46" t="str">
        <x:v>Punti partita</x:v>
      </x:c>
      <x:c r="H4" s="46" t="str">
        <x:v>Posizione</x:v>
      </x:c>
      <x:c r="I4" s="46" t="str">
        <x:v>Sòle</x:v>
      </x:c>
      <x:c r="J4" s="46" t="str">
        <x:v>Note</x:v>
      </x:c>
      <x:c r="K4" s="46" t="str">
        <x:v>Qualificato</x:v>
      </x:c>
      <x:c r="L4" s="46" t="str">
        <x:v>Rank terzi</x:v>
      </x:c>
      <x:c r="M4" s="46" t="str">
        <x:v>Merito T2</x:v>
      </x:c>
      <x:c r="O4" s="46" t="str">
        <x:v>Ordine</x:v>
      </x:c>
      <x:c r="P4" s="46" t="str">
        <x:v>ID</x:v>
      </x:c>
      <x:c r="Q4" s="46" t="str">
        <x:v>Nome</x:v>
      </x:c>
    </x:row>
    <x:row r="5">
      <x:c r="A5" t="str">
        <x:v>A</x:v>
      </x:c>
      <x:c r="B5" t="n">
        <x:v>1</x:v>
      </x:c>
      <x:c r="C5" t="n">
        <x:v>1</x:v>
      </x:c>
      <x:c r="D5" t="n">
        <x:f>IF(C5&lt;=5,INDEX(Classifica_Iniziale!$L$5:$L$44,C5),IFERROR(INDEX(Turno_1!$N$5:$N$19,C5-5),""))</x:f>
        <x:v>19</x:v>
      </x:c>
      <x:c r="E5" t="str">
        <x:f>IF(D5="","",IFERROR(VLOOKUP(D5,Giocatori!$A$4:$B$48,2,FALSE),""))</x:f>
        <x:v>Fuschillo Franco</x:v>
      </x:c>
      <x:c r="F5" t="n">
        <x:f>IF(D5="","",INDEX(Classifica_Iniziale!$H$5:$H$44,MATCH(D5,Classifica_Iniziale!$A$5:$A$44,0)))</x:f>
        <x:v>1</x:v>
      </x:c>
      <x:c r="G5" s="47"/>
      <x:c r="H5" s="47"/>
      <x:c r="I5" s="47"/>
      <x:c r="J5" s="47"/>
      <x:c r="K5" t="str">
        <x:f>IF(H5="","",IF(H5&lt;=2,"Sì",IF(AND(H5=3,L5&lt;=2),"Sì","No")))</x:f>
      </x:c>
      <x:c r="L5" t="str">
        <x:f>IF(H5&lt;&gt;3,"",1+SUMPRODUCT(--($H$5:$H$24=3),--($G$5:$G$24&lt;G5))+SUMPRODUCT(--($H$5:$H$24=3),--($G$5:$G$24=G5),--($I$5:$I$24&gt;I5))+SUMPRODUCT(--($H$5:$H$24=3),--($G$5:$G$24=G5),--($I$5:$I$24=I5),--($F$5:$F$24&lt;F5)))</x:f>
      </x:c>
      <x:c r="M5" t="str">
        <x:f>IF(K5&lt;&gt;"Sì","",1+SUMPRODUCT(--($K$5:$K$24="Sì"),--($H$5:$H$24&lt;H5))+SUMPRODUCT(--($K$5:$K$24="Sì"),--($H$5:$H$24=H5),--($G$5:$G$24&lt;G5))+SUMPRODUCT(--($K$5:$K$24="Sì"),--($H$5:$H$24=H5),--($G$5:$G$24=G5),--($I$5:$I$24&gt;I5))+SUMPRODUCT(--($K$5:$K$24="Sì"),--($H$5:$H$24=H5),--($G$5:$G$24=G5),--($I$5:$I$24=I5),--($F$5:$F$24&lt;F5)))</x:f>
      </x:c>
      <x:c r="O5" t="n">
        <x:v>1</x:v>
      </x:c>
      <x:c r="P5" t="str">
        <x:f>IFERROR(INDEX($D$5:$D$24,MATCH(O5,$M$5:$M$24,0)),"")</x:f>
      </x:c>
      <x:c r="Q5" t="str">
        <x:f>IFERROR(INDEX($E$5:$E$24,MATCH(O5,$M$5:$M$24,0)),"")</x:f>
      </x:c>
    </x:row>
    <x:row r="6">
      <x:c r="A6" t="str">
        <x:v>A</x:v>
      </x:c>
      <x:c r="B6" t="n">
        <x:v>2</x:v>
      </x:c>
      <x:c r="C6" t="n">
        <x:v>8</x:v>
      </x:c>
      <x:c r="D6" t="str">
        <x:f>IF(C6&lt;=5,INDEX(Classifica_Iniziale!$L$5:$L$44,C6),IFERROR(INDEX(Turno_1!$N$5:$N$19,C6-5),""))</x:f>
      </x:c>
      <x:c r="E6" t="str">
        <x:f>IF(D6="","",IFERROR(VLOOKUP(D6,Giocatori!$A$4:$B$48,2,FALSE),""))</x:f>
      </x:c>
      <x:c r="F6" t="str">
        <x:f>IF(D6="","",INDEX(Classifica_Iniziale!$H$5:$H$44,MATCH(D6,Classifica_Iniziale!$A$5:$A$44,0)))</x:f>
      </x:c>
      <x:c r="G6" s="47"/>
      <x:c r="H6" s="47"/>
      <x:c r="I6" s="47"/>
      <x:c r="J6" s="47"/>
      <x:c r="K6" t="str">
        <x:f>IF(H6="","",IF(H6&lt;=2,"Sì",IF(AND(H6=3,L6&lt;=2),"Sì","No")))</x:f>
      </x:c>
      <x:c r="L6" t="str">
        <x:f>IF(H6&lt;&gt;3,"",1+SUMPRODUCT(--($H$5:$H$24=3),--($G$5:$G$24&lt;G6))+SUMPRODUCT(--($H$5:$H$24=3),--($G$5:$G$24=G6),--($I$5:$I$24&gt;I6))+SUMPRODUCT(--($H$5:$H$24=3),--($G$5:$G$24=G6),--($I$5:$I$24=I6),--($F$5:$F$24&lt;F6)))</x:f>
      </x:c>
      <x:c r="M6" t="str">
        <x:f>IF(K6&lt;&gt;"Sì","",1+SUMPRODUCT(--($K$5:$K$24="Sì"),--($H$5:$H$24&lt;H6))+SUMPRODUCT(--($K$5:$K$24="Sì"),--($H$5:$H$24=H6),--($G$5:$G$24&lt;G6))+SUMPRODUCT(--($K$5:$K$24="Sì"),--($H$5:$H$24=H6),--($G$5:$G$24=G6),--($I$5:$I$24&gt;I6))+SUMPRODUCT(--($K$5:$K$24="Sì"),--($H$5:$H$24=H6),--($G$5:$G$24=G6),--($I$5:$I$24=I6),--($F$5:$F$24&lt;F6)))</x:f>
      </x:c>
      <x:c r="O6" t="n">
        <x:v>2</x:v>
      </x:c>
      <x:c r="P6" t="str">
        <x:f>IFERROR(INDEX($D$5:$D$24,MATCH(O6,$M$5:$M$24,0)),"")</x:f>
      </x:c>
      <x:c r="Q6" t="str">
        <x:f>IFERROR(INDEX($E$5:$E$24,MATCH(O6,$M$5:$M$24,0)),"")</x:f>
      </x:c>
    </x:row>
    <x:row r="7">
      <x:c r="A7" t="str">
        <x:v>A</x:v>
      </x:c>
      <x:c r="B7" t="n">
        <x:v>3</x:v>
      </x:c>
      <x:c r="C7" t="n">
        <x:v>9</x:v>
      </x:c>
      <x:c r="D7" t="str">
        <x:f>IF(C7&lt;=5,INDEX(Classifica_Iniziale!$L$5:$L$44,C7),IFERROR(INDEX(Turno_1!$N$5:$N$19,C7-5),""))</x:f>
      </x:c>
      <x:c r="E7" t="str">
        <x:f>IF(D7="","",IFERROR(VLOOKUP(D7,Giocatori!$A$4:$B$48,2,FALSE),""))</x:f>
      </x:c>
      <x:c r="F7" t="str">
        <x:f>IF(D7="","",INDEX(Classifica_Iniziale!$H$5:$H$44,MATCH(D7,Classifica_Iniziale!$A$5:$A$44,0)))</x:f>
      </x:c>
      <x:c r="G7" s="47"/>
      <x:c r="H7" s="47"/>
      <x:c r="I7" s="47"/>
      <x:c r="J7" s="47"/>
      <x:c r="K7" t="str">
        <x:f>IF(H7="","",IF(H7&lt;=2,"Sì",IF(AND(H7=3,L7&lt;=2),"Sì","No")))</x:f>
      </x:c>
      <x:c r="L7" t="str">
        <x:f>IF(H7&lt;&gt;3,"",1+SUMPRODUCT(--($H$5:$H$24=3),--($G$5:$G$24&lt;G7))+SUMPRODUCT(--($H$5:$H$24=3),--($G$5:$G$24=G7),--($I$5:$I$24&gt;I7))+SUMPRODUCT(--($H$5:$H$24=3),--($G$5:$G$24=G7),--($I$5:$I$24=I7),--($F$5:$F$24&lt;F7)))</x:f>
      </x:c>
      <x:c r="M7" t="str">
        <x:f>IF(K7&lt;&gt;"Sì","",1+SUMPRODUCT(--($K$5:$K$24="Sì"),--($H$5:$H$24&lt;H7))+SUMPRODUCT(--($K$5:$K$24="Sì"),--($H$5:$H$24=H7),--($G$5:$G$24&lt;G7))+SUMPRODUCT(--($K$5:$K$24="Sì"),--($H$5:$H$24=H7),--($G$5:$G$24=G7),--($I$5:$I$24&gt;I7))+SUMPRODUCT(--($K$5:$K$24="Sì"),--($H$5:$H$24=H7),--($G$5:$G$24=G7),--($I$5:$I$24=I7),--($F$5:$F$24&lt;F7)))</x:f>
      </x:c>
      <x:c r="O7" t="n">
        <x:v>3</x:v>
      </x:c>
      <x:c r="P7" t="str">
        <x:f>IFERROR(INDEX($D$5:$D$24,MATCH(O7,$M$5:$M$24,0)),"")</x:f>
      </x:c>
      <x:c r="Q7" t="str">
        <x:f>IFERROR(INDEX($E$5:$E$24,MATCH(O7,$M$5:$M$24,0)),"")</x:f>
      </x:c>
    </x:row>
    <x:row r="8">
      <x:c r="A8" t="str">
        <x:v>A</x:v>
      </x:c>
      <x:c r="B8" t="n">
        <x:v>4</x:v>
      </x:c>
      <x:c r="C8" t="n">
        <x:v>16</x:v>
      </x:c>
      <x:c r="D8" t="str">
        <x:f>IF(C8&lt;=5,INDEX(Classifica_Iniziale!$L$5:$L$44,C8),IFERROR(INDEX(Turno_1!$N$5:$N$19,C8-5),""))</x:f>
      </x:c>
      <x:c r="E8" t="str">
        <x:f>IF(D8="","",IFERROR(VLOOKUP(D8,Giocatori!$A$4:$B$48,2,FALSE),""))</x:f>
      </x:c>
      <x:c r="F8" t="str">
        <x:f>IF(D8="","",INDEX(Classifica_Iniziale!$H$5:$H$44,MATCH(D8,Classifica_Iniziale!$A$5:$A$44,0)))</x:f>
      </x:c>
      <x:c r="G8" s="47"/>
      <x:c r="H8" s="47"/>
      <x:c r="I8" s="47"/>
      <x:c r="J8" s="47"/>
      <x:c r="K8" t="str">
        <x:f>IF(H8="","",IF(H8&lt;=2,"Sì",IF(AND(H8=3,L8&lt;=2),"Sì","No")))</x:f>
      </x:c>
      <x:c r="L8" t="str">
        <x:f>IF(H8&lt;&gt;3,"",1+SUMPRODUCT(--($H$5:$H$24=3),--($G$5:$G$24&lt;G8))+SUMPRODUCT(--($H$5:$H$24=3),--($G$5:$G$24=G8),--($I$5:$I$24&gt;I8))+SUMPRODUCT(--($H$5:$H$24=3),--($G$5:$G$24=G8),--($I$5:$I$24=I8),--($F$5:$F$24&lt;F8)))</x:f>
      </x:c>
      <x:c r="M8" t="str">
        <x:f>IF(K8&lt;&gt;"Sì","",1+SUMPRODUCT(--($K$5:$K$24="Sì"),--($H$5:$H$24&lt;H8))+SUMPRODUCT(--($K$5:$K$24="Sì"),--($H$5:$H$24=H8),--($G$5:$G$24&lt;G8))+SUMPRODUCT(--($K$5:$K$24="Sì"),--($H$5:$H$24=H8),--($G$5:$G$24=G8),--($I$5:$I$24&gt;I8))+SUMPRODUCT(--($K$5:$K$24="Sì"),--($H$5:$H$24=H8),--($G$5:$G$24=G8),--($I$5:$I$24=I8),--($F$5:$F$24&lt;F8)))</x:f>
      </x:c>
      <x:c r="O8" t="n">
        <x:v>4</x:v>
      </x:c>
      <x:c r="P8" t="str">
        <x:f>IFERROR(INDEX($D$5:$D$24,MATCH(O8,$M$5:$M$24,0)),"")</x:f>
      </x:c>
      <x:c r="Q8" t="str">
        <x:f>IFERROR(INDEX($E$5:$E$24,MATCH(O8,$M$5:$M$24,0)),"")</x:f>
      </x:c>
    </x:row>
    <x:row r="9">
      <x:c r="A9" t="str">
        <x:v>A</x:v>
      </x:c>
      <x:c r="B9" t="n">
        <x:v>5</x:v>
      </x:c>
      <x:c r="C9" t="n">
        <x:v>17</x:v>
      </x:c>
      <x:c r="D9" t="str">
        <x:f>IF(C9&lt;=5,INDEX(Classifica_Iniziale!$L$5:$L$44,C9),IFERROR(INDEX(Turno_1!$N$5:$N$19,C9-5),""))</x:f>
      </x:c>
      <x:c r="E9" t="str">
        <x:f>IF(D9="","",IFERROR(VLOOKUP(D9,Giocatori!$A$4:$B$48,2,FALSE),""))</x:f>
      </x:c>
      <x:c r="F9" t="str">
        <x:f>IF(D9="","",INDEX(Classifica_Iniziale!$H$5:$H$44,MATCH(D9,Classifica_Iniziale!$A$5:$A$44,0)))</x:f>
      </x:c>
      <x:c r="G9" s="47"/>
      <x:c r="H9" s="47"/>
      <x:c r="I9" s="47"/>
      <x:c r="J9" s="47"/>
      <x:c r="K9" t="str">
        <x:f>IF(H9="","",IF(H9&lt;=2,"Sì",IF(AND(H9=3,L9&lt;=2),"Sì","No")))</x:f>
      </x:c>
      <x:c r="L9" t="str">
        <x:f>IF(H9&lt;&gt;3,"",1+SUMPRODUCT(--($H$5:$H$24=3),--($G$5:$G$24&lt;G9))+SUMPRODUCT(--($H$5:$H$24=3),--($G$5:$G$24=G9),--($I$5:$I$24&gt;I9))+SUMPRODUCT(--($H$5:$H$24=3),--($G$5:$G$24=G9),--($I$5:$I$24=I9),--($F$5:$F$24&lt;F9)))</x:f>
      </x:c>
      <x:c r="M9" t="str">
        <x:f>IF(K9&lt;&gt;"Sì","",1+SUMPRODUCT(--($K$5:$K$24="Sì"),--($H$5:$H$24&lt;H9))+SUMPRODUCT(--($K$5:$K$24="Sì"),--($H$5:$H$24=H9),--($G$5:$G$24&lt;G9))+SUMPRODUCT(--($K$5:$K$24="Sì"),--($H$5:$H$24=H9),--($G$5:$G$24=G9),--($I$5:$I$24&gt;I9))+SUMPRODUCT(--($K$5:$K$24="Sì"),--($H$5:$H$24=H9),--($G$5:$G$24=G9),--($I$5:$I$24=I9),--($F$5:$F$24&lt;F9)))</x:f>
      </x:c>
      <x:c r="O9" t="n">
        <x:v>5</x:v>
      </x:c>
      <x:c r="P9" t="str">
        <x:f>IFERROR(INDEX($D$5:$D$24,MATCH(O9,$M$5:$M$24,0)),"")</x:f>
      </x:c>
      <x:c r="Q9" t="str">
        <x:f>IFERROR(INDEX($E$5:$E$24,MATCH(O9,$M$5:$M$24,0)),"")</x:f>
      </x:c>
    </x:row>
    <x:row r="10">
      <x:c r="A10" t="str">
        <x:v>B</x:v>
      </x:c>
      <x:c r="B10" t="n">
        <x:v>1</x:v>
      </x:c>
      <x:c r="C10" t="n">
        <x:v>2</x:v>
      </x:c>
      <x:c r="D10" t="n">
        <x:f>IF(C10&lt;=5,INDEX(Classifica_Iniziale!$L$5:$L$44,C10),IFERROR(INDEX(Turno_1!$N$5:$N$19,C10-5),""))</x:f>
        <x:v>26</x:v>
      </x:c>
      <x:c r="E10" t="str">
        <x:f>IF(D10="","",IFERROR(VLOOKUP(D10,Giocatori!$A$4:$B$48,2,FALSE),""))</x:f>
        <x:v>La Marca Franco</x:v>
      </x:c>
      <x:c r="F10" t="n">
        <x:f>IF(D10="","",INDEX(Classifica_Iniziale!$H$5:$H$44,MATCH(D10,Classifica_Iniziale!$A$5:$A$44,0)))</x:f>
        <x:v>2</x:v>
      </x:c>
      <x:c r="G10" s="47"/>
      <x:c r="H10" s="47"/>
      <x:c r="I10" s="47"/>
      <x:c r="J10" s="47"/>
      <x:c r="K10" t="str">
        <x:f>IF(H10="","",IF(H10&lt;=2,"Sì",IF(AND(H10=3,L10&lt;=2),"Sì","No")))</x:f>
      </x:c>
      <x:c r="L10" t="str">
        <x:f>IF(H10&lt;&gt;3,"",1+SUMPRODUCT(--($H$5:$H$24=3),--($G$5:$G$24&lt;G10))+SUMPRODUCT(--($H$5:$H$24=3),--($G$5:$G$24=G10),--($I$5:$I$24&gt;I10))+SUMPRODUCT(--($H$5:$H$24=3),--($G$5:$G$24=G10),--($I$5:$I$24=I10),--($F$5:$F$24&lt;F10)))</x:f>
      </x:c>
      <x:c r="M10" t="str">
        <x:f>IF(K10&lt;&gt;"Sì","",1+SUMPRODUCT(--($K$5:$K$24="Sì"),--($H$5:$H$24&lt;H10))+SUMPRODUCT(--($K$5:$K$24="Sì"),--($H$5:$H$24=H10),--($G$5:$G$24&lt;G10))+SUMPRODUCT(--($K$5:$K$24="Sì"),--($H$5:$H$24=H10),--($G$5:$G$24=G10),--($I$5:$I$24&gt;I10))+SUMPRODUCT(--($K$5:$K$24="Sì"),--($H$5:$H$24=H10),--($G$5:$G$24=G10),--($I$5:$I$24=I10),--($F$5:$F$24&lt;F10)))</x:f>
      </x:c>
      <x:c r="O10" t="n">
        <x:v>6</x:v>
      </x:c>
      <x:c r="P10" t="str">
        <x:f>IFERROR(INDEX($D$5:$D$24,MATCH(O10,$M$5:$M$24,0)),"")</x:f>
      </x:c>
      <x:c r="Q10" t="str">
        <x:f>IFERROR(INDEX($E$5:$E$24,MATCH(O10,$M$5:$M$24,0)),"")</x:f>
      </x:c>
    </x:row>
    <x:row r="11">
      <x:c r="A11" t="str">
        <x:v>B</x:v>
      </x:c>
      <x:c r="B11" t="n">
        <x:v>2</x:v>
      </x:c>
      <x:c r="C11" t="n">
        <x:v>7</x:v>
      </x:c>
      <x:c r="D11" t="str">
        <x:f>IF(C11&lt;=5,INDEX(Classifica_Iniziale!$L$5:$L$44,C11),IFERROR(INDEX(Turno_1!$N$5:$N$19,C11-5),""))</x:f>
      </x:c>
      <x:c r="E11" t="str">
        <x:f>IF(D11="","",IFERROR(VLOOKUP(D11,Giocatori!$A$4:$B$48,2,FALSE),""))</x:f>
      </x:c>
      <x:c r="F11" t="str">
        <x:f>IF(D11="","",INDEX(Classifica_Iniziale!$H$5:$H$44,MATCH(D11,Classifica_Iniziale!$A$5:$A$44,0)))</x:f>
      </x:c>
      <x:c r="G11" s="47"/>
      <x:c r="H11" s="47"/>
      <x:c r="I11" s="47"/>
      <x:c r="J11" s="47"/>
      <x:c r="K11" t="str">
        <x:f>IF(H11="","",IF(H11&lt;=2,"Sì",IF(AND(H11=3,L11&lt;=2),"Sì","No")))</x:f>
      </x:c>
      <x:c r="L11" t="str">
        <x:f>IF(H11&lt;&gt;3,"",1+SUMPRODUCT(--($H$5:$H$24=3),--($G$5:$G$24&lt;G11))+SUMPRODUCT(--($H$5:$H$24=3),--($G$5:$G$24=G11),--($I$5:$I$24&gt;I11))+SUMPRODUCT(--($H$5:$H$24=3),--($G$5:$G$24=G11),--($I$5:$I$24=I11),--($F$5:$F$24&lt;F11)))</x:f>
      </x:c>
      <x:c r="M11" t="str">
        <x:f>IF(K11&lt;&gt;"Sì","",1+SUMPRODUCT(--($K$5:$K$24="Sì"),--($H$5:$H$24&lt;H11))+SUMPRODUCT(--($K$5:$K$24="Sì"),--($H$5:$H$24=H11),--($G$5:$G$24&lt;G11))+SUMPRODUCT(--($K$5:$K$24="Sì"),--($H$5:$H$24=H11),--($G$5:$G$24=G11),--($I$5:$I$24&gt;I11))+SUMPRODUCT(--($K$5:$K$24="Sì"),--($H$5:$H$24=H11),--($G$5:$G$24=G11),--($I$5:$I$24=I11),--($F$5:$F$24&lt;F11)))</x:f>
      </x:c>
      <x:c r="O11" t="n">
        <x:v>7</x:v>
      </x:c>
      <x:c r="P11" t="str">
        <x:f>IFERROR(INDEX($D$5:$D$24,MATCH(O11,$M$5:$M$24,0)),"")</x:f>
      </x:c>
      <x:c r="Q11" t="str">
        <x:f>IFERROR(INDEX($E$5:$E$24,MATCH(O11,$M$5:$M$24,0)),"")</x:f>
      </x:c>
    </x:row>
    <x:row r="12">
      <x:c r="A12" t="str">
        <x:v>B</x:v>
      </x:c>
      <x:c r="B12" t="n">
        <x:v>3</x:v>
      </x:c>
      <x:c r="C12" t="n">
        <x:v>10</x:v>
      </x:c>
      <x:c r="D12" t="str">
        <x:f>IF(C12&lt;=5,INDEX(Classifica_Iniziale!$L$5:$L$44,C12),IFERROR(INDEX(Turno_1!$N$5:$N$19,C12-5),""))</x:f>
      </x:c>
      <x:c r="E12" t="str">
        <x:f>IF(D12="","",IFERROR(VLOOKUP(D12,Giocatori!$A$4:$B$48,2,FALSE),""))</x:f>
      </x:c>
      <x:c r="F12" t="str">
        <x:f>IF(D12="","",INDEX(Classifica_Iniziale!$H$5:$H$44,MATCH(D12,Classifica_Iniziale!$A$5:$A$44,0)))</x:f>
      </x:c>
      <x:c r="G12" s="47"/>
      <x:c r="H12" s="47"/>
      <x:c r="I12" s="47"/>
      <x:c r="J12" s="47"/>
      <x:c r="K12" t="str">
        <x:f>IF(H12="","",IF(H12&lt;=2,"Sì",IF(AND(H12=3,L12&lt;=2),"Sì","No")))</x:f>
      </x:c>
      <x:c r="L12" t="str">
        <x:f>IF(H12&lt;&gt;3,"",1+SUMPRODUCT(--($H$5:$H$24=3),--($G$5:$G$24&lt;G12))+SUMPRODUCT(--($H$5:$H$24=3),--($G$5:$G$24=G12),--($I$5:$I$24&gt;I12))+SUMPRODUCT(--($H$5:$H$24=3),--($G$5:$G$24=G12),--($I$5:$I$24=I12),--($F$5:$F$24&lt;F12)))</x:f>
      </x:c>
      <x:c r="M12" t="str">
        <x:f>IF(K12&lt;&gt;"Sì","",1+SUMPRODUCT(--($K$5:$K$24="Sì"),--($H$5:$H$24&lt;H12))+SUMPRODUCT(--($K$5:$K$24="Sì"),--($H$5:$H$24=H12),--($G$5:$G$24&lt;G12))+SUMPRODUCT(--($K$5:$K$24="Sì"),--($H$5:$H$24=H12),--($G$5:$G$24=G12),--($I$5:$I$24&gt;I12))+SUMPRODUCT(--($K$5:$K$24="Sì"),--($H$5:$H$24=H12),--($G$5:$G$24=G12),--($I$5:$I$24=I12),--($F$5:$F$24&lt;F12)))</x:f>
      </x:c>
      <x:c r="O12" t="n">
        <x:v>8</x:v>
      </x:c>
      <x:c r="P12" t="str">
        <x:f>IFERROR(INDEX($D$5:$D$24,MATCH(O12,$M$5:$M$24,0)),"")</x:f>
      </x:c>
      <x:c r="Q12" t="str">
        <x:f>IFERROR(INDEX($E$5:$E$24,MATCH(O12,$M$5:$M$24,0)),"")</x:f>
      </x:c>
    </x:row>
    <x:row r="13">
      <x:c r="A13" t="str">
        <x:v>B</x:v>
      </x:c>
      <x:c r="B13" t="n">
        <x:v>4</x:v>
      </x:c>
      <x:c r="C13" t="n">
        <x:v>15</x:v>
      </x:c>
      <x:c r="D13" t="str">
        <x:f>IF(C13&lt;=5,INDEX(Classifica_Iniziale!$L$5:$L$44,C13),IFERROR(INDEX(Turno_1!$N$5:$N$19,C13-5),""))</x:f>
      </x:c>
      <x:c r="E13" t="str">
        <x:f>IF(D13="","",IFERROR(VLOOKUP(D13,Giocatori!$A$4:$B$48,2,FALSE),""))</x:f>
      </x:c>
      <x:c r="F13" t="str">
        <x:f>IF(D13="","",INDEX(Classifica_Iniziale!$H$5:$H$44,MATCH(D13,Classifica_Iniziale!$A$5:$A$44,0)))</x:f>
      </x:c>
      <x:c r="G13" s="47"/>
      <x:c r="H13" s="47"/>
      <x:c r="I13" s="47"/>
      <x:c r="J13" s="47"/>
      <x:c r="K13" t="str">
        <x:f>IF(H13="","",IF(H13&lt;=2,"Sì",IF(AND(H13=3,L13&lt;=2),"Sì","No")))</x:f>
      </x:c>
      <x:c r="L13" t="str">
        <x:f>IF(H13&lt;&gt;3,"",1+SUMPRODUCT(--($H$5:$H$24=3),--($G$5:$G$24&lt;G13))+SUMPRODUCT(--($H$5:$H$24=3),--($G$5:$G$24=G13),--($I$5:$I$24&gt;I13))+SUMPRODUCT(--($H$5:$H$24=3),--($G$5:$G$24=G13),--($I$5:$I$24=I13),--($F$5:$F$24&lt;F13)))</x:f>
      </x:c>
      <x:c r="M13" t="str">
        <x:f>IF(K13&lt;&gt;"Sì","",1+SUMPRODUCT(--($K$5:$K$24="Sì"),--($H$5:$H$24&lt;H13))+SUMPRODUCT(--($K$5:$K$24="Sì"),--($H$5:$H$24=H13),--($G$5:$G$24&lt;G13))+SUMPRODUCT(--($K$5:$K$24="Sì"),--($H$5:$H$24=H13),--($G$5:$G$24=G13),--($I$5:$I$24&gt;I13))+SUMPRODUCT(--($K$5:$K$24="Sì"),--($H$5:$H$24=H13),--($G$5:$G$24=G13),--($I$5:$I$24=I13),--($F$5:$F$24&lt;F13)))</x:f>
      </x:c>
      <x:c r="O13" t="n">
        <x:v>9</x:v>
      </x:c>
      <x:c r="P13" t="str">
        <x:f>IFERROR(INDEX($D$5:$D$24,MATCH(O13,$M$5:$M$24,0)),"")</x:f>
      </x:c>
      <x:c r="Q13" t="str">
        <x:f>IFERROR(INDEX($E$5:$E$24,MATCH(O13,$M$5:$M$24,0)),"")</x:f>
      </x:c>
    </x:row>
    <x:row r="14">
      <x:c r="A14" t="str">
        <x:v>B</x:v>
      </x:c>
      <x:c r="B14" t="n">
        <x:v>5</x:v>
      </x:c>
      <x:c r="C14" t="n">
        <x:v>18</x:v>
      </x:c>
      <x:c r="D14" t="str">
        <x:f>IF(C14&lt;=5,INDEX(Classifica_Iniziale!$L$5:$L$44,C14),IFERROR(INDEX(Turno_1!$N$5:$N$19,C14-5),""))</x:f>
      </x:c>
      <x:c r="E14" t="str">
        <x:f>IF(D14="","",IFERROR(VLOOKUP(D14,Giocatori!$A$4:$B$48,2,FALSE),""))</x:f>
      </x:c>
      <x:c r="F14" t="str">
        <x:f>IF(D14="","",INDEX(Classifica_Iniziale!$H$5:$H$44,MATCH(D14,Classifica_Iniziale!$A$5:$A$44,0)))</x:f>
      </x:c>
      <x:c r="G14" s="47"/>
      <x:c r="H14" s="47"/>
      <x:c r="I14" s="47"/>
      <x:c r="J14" s="47"/>
      <x:c r="K14" t="str">
        <x:f>IF(H14="","",IF(H14&lt;=2,"Sì",IF(AND(H14=3,L14&lt;=2),"Sì","No")))</x:f>
      </x:c>
      <x:c r="L14" t="str">
        <x:f>IF(H14&lt;&gt;3,"",1+SUMPRODUCT(--($H$5:$H$24=3),--($G$5:$G$24&lt;G14))+SUMPRODUCT(--($H$5:$H$24=3),--($G$5:$G$24=G14),--($I$5:$I$24&gt;I14))+SUMPRODUCT(--($H$5:$H$24=3),--($G$5:$G$24=G14),--($I$5:$I$24=I14),--($F$5:$F$24&lt;F14)))</x:f>
      </x:c>
      <x:c r="M14" t="str">
        <x:f>IF(K14&lt;&gt;"Sì","",1+SUMPRODUCT(--($K$5:$K$24="Sì"),--($H$5:$H$24&lt;H14))+SUMPRODUCT(--($K$5:$K$24="Sì"),--($H$5:$H$24=H14),--($G$5:$G$24&lt;G14))+SUMPRODUCT(--($K$5:$K$24="Sì"),--($H$5:$H$24=H14),--($G$5:$G$24=G14),--($I$5:$I$24&gt;I14))+SUMPRODUCT(--($K$5:$K$24="Sì"),--($H$5:$H$24=H14),--($G$5:$G$24=G14),--($I$5:$I$24=I14),--($F$5:$F$24&lt;F14)))</x:f>
      </x:c>
      <x:c r="O14" t="n">
        <x:v>10</x:v>
      </x:c>
      <x:c r="P14" t="str">
        <x:f>IFERROR(INDEX($D$5:$D$24,MATCH(O14,$M$5:$M$24,0)),"")</x:f>
      </x:c>
      <x:c r="Q14" t="str">
        <x:f>IFERROR(INDEX($E$5:$E$24,MATCH(O14,$M$5:$M$24,0)),"")</x:f>
      </x:c>
    </x:row>
    <x:row r="15">
      <x:c r="A15" t="str">
        <x:v>C</x:v>
      </x:c>
      <x:c r="B15" t="n">
        <x:v>1</x:v>
      </x:c>
      <x:c r="C15" t="n">
        <x:v>3</x:v>
      </x:c>
      <x:c r="D15" t="n">
        <x:f>IF(C15&lt;=5,INDEX(Classifica_Iniziale!$L$5:$L$44,C15),IFERROR(INDEX(Turno_1!$N$5:$N$19,C15-5),""))</x:f>
        <x:v>24</x:v>
      </x:c>
      <x:c r="E15" t="str">
        <x:f>IF(D15="","",IFERROR(VLOOKUP(D15,Giocatori!$A$4:$B$48,2,FALSE),""))</x:f>
        <x:v>Napolitano Pasquale</x:v>
      </x:c>
      <x:c r="F15" t="n">
        <x:f>IF(D15="","",INDEX(Classifica_Iniziale!$H$5:$H$44,MATCH(D15,Classifica_Iniziale!$A$5:$A$44,0)))</x:f>
        <x:v>3</x:v>
      </x:c>
      <x:c r="G15" s="47"/>
      <x:c r="H15" s="47"/>
      <x:c r="I15" s="47"/>
      <x:c r="J15" s="47"/>
      <x:c r="K15" t="str">
        <x:f>IF(H15="","",IF(H15&lt;=2,"Sì",IF(AND(H15=3,L15&lt;=2),"Sì","No")))</x:f>
      </x:c>
      <x:c r="L15" t="str">
        <x:f>IF(H15&lt;&gt;3,"",1+SUMPRODUCT(--($H$5:$H$24=3),--($G$5:$G$24&lt;G15))+SUMPRODUCT(--($H$5:$H$24=3),--($G$5:$G$24=G15),--($I$5:$I$24&gt;I15))+SUMPRODUCT(--($H$5:$H$24=3),--($G$5:$G$24=G15),--($I$5:$I$24=I15),--($F$5:$F$24&lt;F15)))</x:f>
      </x:c>
      <x:c r="M15" t="str">
        <x:f>IF(K15&lt;&gt;"Sì","",1+SUMPRODUCT(--($K$5:$K$24="Sì"),--($H$5:$H$24&lt;H15))+SUMPRODUCT(--($K$5:$K$24="Sì"),--($H$5:$H$24=H15),--($G$5:$G$24&lt;G15))+SUMPRODUCT(--($K$5:$K$24="Sì"),--($H$5:$H$24=H15),--($G$5:$G$24=G15),--($I$5:$I$24&gt;I15))+SUMPRODUCT(--($K$5:$K$24="Sì"),--($H$5:$H$24=H15),--($G$5:$G$24=G15),--($I$5:$I$24=I15),--($F$5:$F$24&lt;F15)))</x:f>
      </x:c>
    </x:row>
    <x:row r="16">
      <x:c r="A16" t="str">
        <x:v>C</x:v>
      </x:c>
      <x:c r="B16" t="n">
        <x:v>2</x:v>
      </x:c>
      <x:c r="C16" t="n">
        <x:v>6</x:v>
      </x:c>
      <x:c r="D16" t="str">
        <x:f>IF(C16&lt;=5,INDEX(Classifica_Iniziale!$L$5:$L$44,C16),IFERROR(INDEX(Turno_1!$N$5:$N$19,C16-5),""))</x:f>
      </x:c>
      <x:c r="E16" t="str">
        <x:f>IF(D16="","",IFERROR(VLOOKUP(D16,Giocatori!$A$4:$B$48,2,FALSE),""))</x:f>
      </x:c>
      <x:c r="F16" t="str">
        <x:f>IF(D16="","",INDEX(Classifica_Iniziale!$H$5:$H$44,MATCH(D16,Classifica_Iniziale!$A$5:$A$44,0)))</x:f>
      </x:c>
      <x:c r="G16" s="47"/>
      <x:c r="H16" s="47"/>
      <x:c r="I16" s="47"/>
      <x:c r="J16" s="47"/>
      <x:c r="K16" t="str">
        <x:f>IF(H16="","",IF(H16&lt;=2,"Sì",IF(AND(H16=3,L16&lt;=2),"Sì","No")))</x:f>
      </x:c>
      <x:c r="L16" t="str">
        <x:f>IF(H16&lt;&gt;3,"",1+SUMPRODUCT(--($H$5:$H$24=3),--($G$5:$G$24&lt;G16))+SUMPRODUCT(--($H$5:$H$24=3),--($G$5:$G$24=G16),--($I$5:$I$24&gt;I16))+SUMPRODUCT(--($H$5:$H$24=3),--($G$5:$G$24=G16),--($I$5:$I$24=I16),--($F$5:$F$24&lt;F16)))</x:f>
      </x:c>
      <x:c r="M16" t="str">
        <x:f>IF(K16&lt;&gt;"Sì","",1+SUMPRODUCT(--($K$5:$K$24="Sì"),--($H$5:$H$24&lt;H16))+SUMPRODUCT(--($K$5:$K$24="Sì"),--($H$5:$H$24=H16),--($G$5:$G$24&lt;G16))+SUMPRODUCT(--($K$5:$K$24="Sì"),--($H$5:$H$24=H16),--($G$5:$G$24=G16),--($I$5:$I$24&gt;I16))+SUMPRODUCT(--($K$5:$K$24="Sì"),--($H$5:$H$24=H16),--($G$5:$G$24=G16),--($I$5:$I$24=I16),--($F$5:$F$24&lt;F16)))</x:f>
      </x:c>
    </x:row>
    <x:row r="17">
      <x:c r="A17" t="str">
        <x:v>C</x:v>
      </x:c>
      <x:c r="B17" t="n">
        <x:v>3</x:v>
      </x:c>
      <x:c r="C17" t="n">
        <x:v>11</x:v>
      </x:c>
      <x:c r="D17" t="str">
        <x:f>IF(C17&lt;=5,INDEX(Classifica_Iniziale!$L$5:$L$44,C17),IFERROR(INDEX(Turno_1!$N$5:$N$19,C17-5),""))</x:f>
      </x:c>
      <x:c r="E17" t="str">
        <x:f>IF(D17="","",IFERROR(VLOOKUP(D17,Giocatori!$A$4:$B$48,2,FALSE),""))</x:f>
      </x:c>
      <x:c r="F17" t="str">
        <x:f>IF(D17="","",INDEX(Classifica_Iniziale!$H$5:$H$44,MATCH(D17,Classifica_Iniziale!$A$5:$A$44,0)))</x:f>
      </x:c>
      <x:c r="G17" s="47"/>
      <x:c r="H17" s="47"/>
      <x:c r="I17" s="47"/>
      <x:c r="J17" s="47"/>
      <x:c r="K17" t="str">
        <x:f>IF(H17="","",IF(H17&lt;=2,"Sì",IF(AND(H17=3,L17&lt;=2),"Sì","No")))</x:f>
      </x:c>
      <x:c r="L17" t="str">
        <x:f>IF(H17&lt;&gt;3,"",1+SUMPRODUCT(--($H$5:$H$24=3),--($G$5:$G$24&lt;G17))+SUMPRODUCT(--($H$5:$H$24=3),--($G$5:$G$24=G17),--($I$5:$I$24&gt;I17))+SUMPRODUCT(--($H$5:$H$24=3),--($G$5:$G$24=G17),--($I$5:$I$24=I17),--($F$5:$F$24&lt;F17)))</x:f>
      </x:c>
      <x:c r="M17" t="str">
        <x:f>IF(K17&lt;&gt;"Sì","",1+SUMPRODUCT(--($K$5:$K$24="Sì"),--($H$5:$H$24&lt;H17))+SUMPRODUCT(--($K$5:$K$24="Sì"),--($H$5:$H$24=H17),--($G$5:$G$24&lt;G17))+SUMPRODUCT(--($K$5:$K$24="Sì"),--($H$5:$H$24=H17),--($G$5:$G$24=G17),--($I$5:$I$24&gt;I17))+SUMPRODUCT(--($K$5:$K$24="Sì"),--($H$5:$H$24=H17),--($G$5:$G$24=G17),--($I$5:$I$24=I17),--($F$5:$F$24&lt;F17)))</x:f>
      </x:c>
    </x:row>
    <x:row r="18">
      <x:c r="A18" t="str">
        <x:v>C</x:v>
      </x:c>
      <x:c r="B18" t="n">
        <x:v>4</x:v>
      </x:c>
      <x:c r="C18" t="n">
        <x:v>14</x:v>
      </x:c>
      <x:c r="D18" t="str">
        <x:f>IF(C18&lt;=5,INDEX(Classifica_Iniziale!$L$5:$L$44,C18),IFERROR(INDEX(Turno_1!$N$5:$N$19,C18-5),""))</x:f>
      </x:c>
      <x:c r="E18" t="str">
        <x:f>IF(D18="","",IFERROR(VLOOKUP(D18,Giocatori!$A$4:$B$48,2,FALSE),""))</x:f>
      </x:c>
      <x:c r="F18" t="str">
        <x:f>IF(D18="","",INDEX(Classifica_Iniziale!$H$5:$H$44,MATCH(D18,Classifica_Iniziale!$A$5:$A$44,0)))</x:f>
      </x:c>
      <x:c r="G18" s="47"/>
      <x:c r="H18" s="47"/>
      <x:c r="I18" s="47"/>
      <x:c r="J18" s="47"/>
      <x:c r="K18" t="str">
        <x:f>IF(H18="","",IF(H18&lt;=2,"Sì",IF(AND(H18=3,L18&lt;=2),"Sì","No")))</x:f>
      </x:c>
      <x:c r="L18" t="str">
        <x:f>IF(H18&lt;&gt;3,"",1+SUMPRODUCT(--($H$5:$H$24=3),--($G$5:$G$24&lt;G18))+SUMPRODUCT(--($H$5:$H$24=3),--($G$5:$G$24=G18),--($I$5:$I$24&gt;I18))+SUMPRODUCT(--($H$5:$H$24=3),--($G$5:$G$24=G18),--($I$5:$I$24=I18),--($F$5:$F$24&lt;F18)))</x:f>
      </x:c>
      <x:c r="M18" t="str">
        <x:f>IF(K18&lt;&gt;"Sì","",1+SUMPRODUCT(--($K$5:$K$24="Sì"),--($H$5:$H$24&lt;H18))+SUMPRODUCT(--($K$5:$K$24="Sì"),--($H$5:$H$24=H18),--($G$5:$G$24&lt;G18))+SUMPRODUCT(--($K$5:$K$24="Sì"),--($H$5:$H$24=H18),--($G$5:$G$24=G18),--($I$5:$I$24&gt;I18))+SUMPRODUCT(--($K$5:$K$24="Sì"),--($H$5:$H$24=H18),--($G$5:$G$24=G18),--($I$5:$I$24=I18),--($F$5:$F$24&lt;F18)))</x:f>
      </x:c>
    </x:row>
    <x:row r="19">
      <x:c r="A19" t="str">
        <x:v>C</x:v>
      </x:c>
      <x:c r="B19" t="n">
        <x:v>5</x:v>
      </x:c>
      <x:c r="C19" t="n">
        <x:v>19</x:v>
      </x:c>
      <x:c r="D19" t="str">
        <x:f>IF(C19&lt;=5,INDEX(Classifica_Iniziale!$L$5:$L$44,C19),IFERROR(INDEX(Turno_1!$N$5:$N$19,C19-5),""))</x:f>
      </x:c>
      <x:c r="E19" t="str">
        <x:f>IF(D19="","",IFERROR(VLOOKUP(D19,Giocatori!$A$4:$B$48,2,FALSE),""))</x:f>
      </x:c>
      <x:c r="F19" t="str">
        <x:f>IF(D19="","",INDEX(Classifica_Iniziale!$H$5:$H$44,MATCH(D19,Classifica_Iniziale!$A$5:$A$44,0)))</x:f>
      </x:c>
      <x:c r="G19" s="47"/>
      <x:c r="H19" s="47"/>
      <x:c r="I19" s="47"/>
      <x:c r="J19" s="47"/>
      <x:c r="K19" t="str">
        <x:f>IF(H19="","",IF(H19&lt;=2,"Sì",IF(AND(H19=3,L19&lt;=2),"Sì","No")))</x:f>
      </x:c>
      <x:c r="L19" t="str">
        <x:f>IF(H19&lt;&gt;3,"",1+SUMPRODUCT(--($H$5:$H$24=3),--($G$5:$G$24&lt;G19))+SUMPRODUCT(--($H$5:$H$24=3),--($G$5:$G$24=G19),--($I$5:$I$24&gt;I19))+SUMPRODUCT(--($H$5:$H$24=3),--($G$5:$G$24=G19),--($I$5:$I$24=I19),--($F$5:$F$24&lt;F19)))</x:f>
      </x:c>
      <x:c r="M19" t="str">
        <x:f>IF(K19&lt;&gt;"Sì","",1+SUMPRODUCT(--($K$5:$K$24="Sì"),--($H$5:$H$24&lt;H19))+SUMPRODUCT(--($K$5:$K$24="Sì"),--($H$5:$H$24=H19),--($G$5:$G$24&lt;G19))+SUMPRODUCT(--($K$5:$K$24="Sì"),--($H$5:$H$24=H19),--($G$5:$G$24=G19),--($I$5:$I$24&gt;I19))+SUMPRODUCT(--($K$5:$K$24="Sì"),--($H$5:$H$24=H19),--($G$5:$G$24=G19),--($I$5:$I$24=I19),--($F$5:$F$24&lt;F19)))</x:f>
      </x:c>
    </x:row>
    <x:row r="20">
      <x:c r="A20" t="str">
        <x:v>D</x:v>
      </x:c>
      <x:c r="B20" t="n">
        <x:v>1</x:v>
      </x:c>
      <x:c r="C20" t="n">
        <x:v>4</x:v>
      </x:c>
      <x:c r="D20" t="n">
        <x:f>IF(C20&lt;=5,INDEX(Classifica_Iniziale!$L$5:$L$44,C20),IFERROR(INDEX(Turno_1!$N$5:$N$19,C20-5),""))</x:f>
        <x:v>16</x:v>
      </x:c>
      <x:c r="E20" t="str">
        <x:f>IF(D20="","",IFERROR(VLOOKUP(D20,Giocatori!$A$4:$B$48,2,FALSE),""))</x:f>
        <x:v>Iorio Raffaele</x:v>
      </x:c>
      <x:c r="F20" t="n">
        <x:f>IF(D20="","",INDEX(Classifica_Iniziale!$H$5:$H$44,MATCH(D20,Classifica_Iniziale!$A$5:$A$44,0)))</x:f>
        <x:v>4</x:v>
      </x:c>
      <x:c r="G20" s="47"/>
      <x:c r="H20" s="47"/>
      <x:c r="I20" s="47"/>
      <x:c r="J20" s="47"/>
      <x:c r="K20" t="str">
        <x:f>IF(H20="","",IF(H20&lt;=2,"Sì",IF(AND(H20=3,L20&lt;=2),"Sì","No")))</x:f>
      </x:c>
      <x:c r="L20" t="str">
        <x:f>IF(H20&lt;&gt;3,"",1+SUMPRODUCT(--($H$5:$H$24=3),--($G$5:$G$24&lt;G20))+SUMPRODUCT(--($H$5:$H$24=3),--($G$5:$G$24=G20),--($I$5:$I$24&gt;I20))+SUMPRODUCT(--($H$5:$H$24=3),--($G$5:$G$24=G20),--($I$5:$I$24=I20),--($F$5:$F$24&lt;F20)))</x:f>
      </x:c>
      <x:c r="M20" t="str">
        <x:f>IF(K20&lt;&gt;"Sì","",1+SUMPRODUCT(--($K$5:$K$24="Sì"),--($H$5:$H$24&lt;H20))+SUMPRODUCT(--($K$5:$K$24="Sì"),--($H$5:$H$24=H20),--($G$5:$G$24&lt;G20))+SUMPRODUCT(--($K$5:$K$24="Sì"),--($H$5:$H$24=H20),--($G$5:$G$24=G20),--($I$5:$I$24&gt;I20))+SUMPRODUCT(--($K$5:$K$24="Sì"),--($H$5:$H$24=H20),--($G$5:$G$24=G20),--($I$5:$I$24=I20),--($F$5:$F$24&lt;F20)))</x:f>
      </x:c>
    </x:row>
    <x:row r="21">
      <x:c r="A21" t="str">
        <x:v>D</x:v>
      </x:c>
      <x:c r="B21" t="n">
        <x:v>2</x:v>
      </x:c>
      <x:c r="C21" t="n">
        <x:v>5</x:v>
      </x:c>
      <x:c r="D21" t="n">
        <x:f>IF(C21&lt;=5,INDEX(Classifica_Iniziale!$L$5:$L$44,C21),IFERROR(INDEX(Turno_1!$N$5:$N$19,C21-5),""))</x:f>
        <x:v>29</x:v>
      </x:c>
      <x:c r="E21" t="str">
        <x:f>IF(D21="","",IFERROR(VLOOKUP(D21,Giocatori!$A$4:$B$48,2,FALSE),""))</x:f>
        <x:v>Tufano Giovanni</x:v>
      </x:c>
      <x:c r="F21" t="n">
        <x:f>IF(D21="","",INDEX(Classifica_Iniziale!$H$5:$H$44,MATCH(D21,Classifica_Iniziale!$A$5:$A$44,0)))</x:f>
        <x:v>5</x:v>
      </x:c>
      <x:c r="G21" s="47"/>
      <x:c r="H21" s="47"/>
      <x:c r="I21" s="47"/>
      <x:c r="J21" s="47"/>
      <x:c r="K21" t="str">
        <x:f>IF(H21="","",IF(H21&lt;=2,"Sì",IF(AND(H21=3,L21&lt;=2),"Sì","No")))</x:f>
      </x:c>
      <x:c r="L21" t="str">
        <x:f>IF(H21&lt;&gt;3,"",1+SUMPRODUCT(--($H$5:$H$24=3),--($G$5:$G$24&lt;G21))+SUMPRODUCT(--($H$5:$H$24=3),--($G$5:$G$24=G21),--($I$5:$I$24&gt;I21))+SUMPRODUCT(--($H$5:$H$24=3),--($G$5:$G$24=G21),--($I$5:$I$24=I21),--($F$5:$F$24&lt;F21)))</x:f>
      </x:c>
      <x:c r="M21" t="str">
        <x:f>IF(K21&lt;&gt;"Sì","",1+SUMPRODUCT(--($K$5:$K$24="Sì"),--($H$5:$H$24&lt;H21))+SUMPRODUCT(--($K$5:$K$24="Sì"),--($H$5:$H$24=H21),--($G$5:$G$24&lt;G21))+SUMPRODUCT(--($K$5:$K$24="Sì"),--($H$5:$H$24=H21),--($G$5:$G$24=G21),--($I$5:$I$24&gt;I21))+SUMPRODUCT(--($K$5:$K$24="Sì"),--($H$5:$H$24=H21),--($G$5:$G$24=G21),--($I$5:$I$24=I21),--($F$5:$F$24&lt;F21)))</x:f>
      </x:c>
    </x:row>
    <x:row r="22">
      <x:c r="A22" t="str">
        <x:v>D</x:v>
      </x:c>
      <x:c r="B22" t="n">
        <x:v>3</x:v>
      </x:c>
      <x:c r="C22" t="n">
        <x:v>12</x:v>
      </x:c>
      <x:c r="D22" t="str">
        <x:f>IF(C22&lt;=5,INDEX(Classifica_Iniziale!$L$5:$L$44,C22),IFERROR(INDEX(Turno_1!$N$5:$N$19,C22-5),""))</x:f>
      </x:c>
      <x:c r="E22" t="str">
        <x:f>IF(D22="","",IFERROR(VLOOKUP(D22,Giocatori!$A$4:$B$48,2,FALSE),""))</x:f>
      </x:c>
      <x:c r="F22" t="str">
        <x:f>IF(D22="","",INDEX(Classifica_Iniziale!$H$5:$H$44,MATCH(D22,Classifica_Iniziale!$A$5:$A$44,0)))</x:f>
      </x:c>
      <x:c r="G22" s="47"/>
      <x:c r="H22" s="47"/>
      <x:c r="I22" s="47"/>
      <x:c r="J22" s="47"/>
      <x:c r="K22" t="str">
        <x:f>IF(H22="","",IF(H22&lt;=2,"Sì",IF(AND(H22=3,L22&lt;=2),"Sì","No")))</x:f>
      </x:c>
      <x:c r="L22" t="str">
        <x:f>IF(H22&lt;&gt;3,"",1+SUMPRODUCT(--($H$5:$H$24=3),--($G$5:$G$24&lt;G22))+SUMPRODUCT(--($H$5:$H$24=3),--($G$5:$G$24=G22),--($I$5:$I$24&gt;I22))+SUMPRODUCT(--($H$5:$H$24=3),--($G$5:$G$24=G22),--($I$5:$I$24=I22),--($F$5:$F$24&lt;F22)))</x:f>
      </x:c>
      <x:c r="M22" t="str">
        <x:f>IF(K22&lt;&gt;"Sì","",1+SUMPRODUCT(--($K$5:$K$24="Sì"),--($H$5:$H$24&lt;H22))+SUMPRODUCT(--($K$5:$K$24="Sì"),--($H$5:$H$24=H22),--($G$5:$G$24&lt;G22))+SUMPRODUCT(--($K$5:$K$24="Sì"),--($H$5:$H$24=H22),--($G$5:$G$24=G22),--($I$5:$I$24&gt;I22))+SUMPRODUCT(--($K$5:$K$24="Sì"),--($H$5:$H$24=H22),--($G$5:$G$24=G22),--($I$5:$I$24=I22),--($F$5:$F$24&lt;F22)))</x:f>
      </x:c>
    </x:row>
    <x:row r="23">
      <x:c r="A23" t="str">
        <x:v>D</x:v>
      </x:c>
      <x:c r="B23" t="n">
        <x:v>4</x:v>
      </x:c>
      <x:c r="C23" t="n">
        <x:v>13</x:v>
      </x:c>
      <x:c r="D23" t="str">
        <x:f>IF(C23&lt;=5,INDEX(Classifica_Iniziale!$L$5:$L$44,C23),IFERROR(INDEX(Turno_1!$N$5:$N$19,C23-5),""))</x:f>
      </x:c>
      <x:c r="E23" t="str">
        <x:f>IF(D23="","",IFERROR(VLOOKUP(D23,Giocatori!$A$4:$B$48,2,FALSE),""))</x:f>
      </x:c>
      <x:c r="F23" t="str">
        <x:f>IF(D23="","",INDEX(Classifica_Iniziale!$H$5:$H$44,MATCH(D23,Classifica_Iniziale!$A$5:$A$44,0)))</x:f>
      </x:c>
      <x:c r="G23" s="47"/>
      <x:c r="H23" s="47"/>
      <x:c r="I23" s="47"/>
      <x:c r="J23" s="47"/>
      <x:c r="K23" t="str">
        <x:f>IF(H23="","",IF(H23&lt;=2,"Sì",IF(AND(H23=3,L23&lt;=2),"Sì","No")))</x:f>
      </x:c>
      <x:c r="L23" t="str">
        <x:f>IF(H23&lt;&gt;3,"",1+SUMPRODUCT(--($H$5:$H$24=3),--($G$5:$G$24&lt;G23))+SUMPRODUCT(--($H$5:$H$24=3),--($G$5:$G$24=G23),--($I$5:$I$24&gt;I23))+SUMPRODUCT(--($H$5:$H$24=3),--($G$5:$G$24=G23),--($I$5:$I$24=I23),--($F$5:$F$24&lt;F23)))</x:f>
      </x:c>
      <x:c r="M23" t="str">
        <x:f>IF(K23&lt;&gt;"Sì","",1+SUMPRODUCT(--($K$5:$K$24="Sì"),--($H$5:$H$24&lt;H23))+SUMPRODUCT(--($K$5:$K$24="Sì"),--($H$5:$H$24=H23),--($G$5:$G$24&lt;G23))+SUMPRODUCT(--($K$5:$K$24="Sì"),--($H$5:$H$24=H23),--($G$5:$G$24=G23),--($I$5:$I$24&gt;I23))+SUMPRODUCT(--($K$5:$K$24="Sì"),--($H$5:$H$24=H23),--($G$5:$G$24=G23),--($I$5:$I$24=I23),--($F$5:$F$24&lt;F23)))</x:f>
      </x:c>
    </x:row>
    <x:row r="24">
      <x:c r="A24" t="str">
        <x:v>D</x:v>
      </x:c>
      <x:c r="B24" t="n">
        <x:v>5</x:v>
      </x:c>
      <x:c r="C24" t="n">
        <x:v>20</x:v>
      </x:c>
      <x:c r="D24" t="str">
        <x:f>IF(C24&lt;=5,INDEX(Classifica_Iniziale!$L$5:$L$44,C24),IFERROR(INDEX(Turno_1!$N$5:$N$19,C24-5),""))</x:f>
      </x:c>
      <x:c r="E24" t="str">
        <x:f>IF(D24="","",IFERROR(VLOOKUP(D24,Giocatori!$A$4:$B$48,2,FALSE),""))</x:f>
      </x:c>
      <x:c r="F24" t="str">
        <x:f>IF(D24="","",INDEX(Classifica_Iniziale!$H$5:$H$44,MATCH(D24,Classifica_Iniziale!$A$5:$A$44,0)))</x:f>
      </x:c>
      <x:c r="G24" s="47"/>
      <x:c r="H24" s="47"/>
      <x:c r="I24" s="47"/>
      <x:c r="J24" s="47"/>
      <x:c r="K24" t="str">
        <x:f>IF(H24="","",IF(H24&lt;=2,"Sì",IF(AND(H24=3,L24&lt;=2),"Sì","No")))</x:f>
      </x:c>
      <x:c r="L24" t="str">
        <x:f>IF(H24&lt;&gt;3,"",1+SUMPRODUCT(--($H$5:$H$24=3),--($G$5:$G$24&lt;G24))+SUMPRODUCT(--($H$5:$H$24=3),--($G$5:$G$24=G24),--($I$5:$I$24&gt;I24))+SUMPRODUCT(--($H$5:$H$24=3),--($G$5:$G$24=G24),--($I$5:$I$24=I24),--($F$5:$F$24&lt;F24)))</x:f>
      </x:c>
      <x:c r="M24" t="str">
        <x:f>IF(K24&lt;&gt;"Sì","",1+SUMPRODUCT(--($K$5:$K$24="Sì"),--($H$5:$H$24&lt;H24))+SUMPRODUCT(--($K$5:$K$24="Sì"),--($H$5:$H$24=H24),--($G$5:$G$24&lt;G24))+SUMPRODUCT(--($K$5:$K$24="Sì"),--($H$5:$H$24=H24),--($G$5:$G$24=G24),--($I$5:$I$24&gt;I24))+SUMPRODUCT(--($K$5:$K$24="Sì"),--($H$5:$H$24=H24),--($G$5:$G$24=G24),--($I$5:$I$24=I24),--($F$5:$F$24&lt;F24)))</x:f>
      </x:c>
    </x:row>
  </x:sheetData>
  <x:mergeCells>
    <x:mergeCell ref="A1:M1"/>
    <x:mergeCell ref="O1:Q1"/>
  </x:mergeCells>
  <x:conditionalFormatting sqref="K5:K24">
    <x:cfRule type="expression" dxfId="1" priority="1">
      <x:formula>K5="Sì"</x:formula>
    </x:cfRule>
  </x:conditionalFormatting>
  <x:dataValidations count="1">
    <x:dataValidation type="list" sqref="H5:H24">
      <x:formula1>"1,2,3,4,5"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10" hidden="0" customWidth="1"/>
    <x:col min="4" max="4" width="12" hidden="0" customWidth="1"/>
    <x:col min="5" max="5" width="23" hidden="0" customWidth="1"/>
    <x:col min="6" max="6" width="12" hidden="0" customWidth="1"/>
    <x:col min="7" max="7" width="13" hidden="0" customWidth="1"/>
    <x:col min="8" max="8" width="10" hidden="0" customWidth="1"/>
    <x:col min="9" max="9" width="8" hidden="0" customWidth="1"/>
    <x:col min="10" max="10" width="20" hidden="0" customWidth="1"/>
    <x:col min="11" max="11" width="12" hidden="0" customWidth="1"/>
    <x:col min="12" max="12" width="10" hidden="0" customWidth="1"/>
    <x:col min="13" max="13" width="10" hidden="0" customWidth="1"/>
    <x:col min="15" max="15" width="9" hidden="0" customWidth="1"/>
    <x:col min="16" max="16" width="9" hidden="0" customWidth="1"/>
    <x:col min="17" max="17" width="23" hidden="0" customWidth="1"/>
  </x:cols>
  <x:sheetData>
    <x:row r="1">
      <x:c r="A1" s="42" t="str">
        <x:v>FASE FINALE — TURNO 3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 t="str">
        <x:v>5 FINALISTI — ORDINE</x:v>
      </x:c>
      <x:c r="P1" s="42"/>
      <x:c r="Q1" s="42"/>
    </x:row>
    <x:row r="2">
      <x:c r="A2" t="str">
        <x:v>10 giocatori, 2 tavoli da 5. Passano i primi 2 di ogni tavolo e il miglior terzo.</x:v>
      </x:c>
    </x:row>
    <x:row r="4">
      <x:c r="A4" s="46" t="str">
        <x:v>Tavolo</x:v>
      </x:c>
      <x:c r="B4" s="46" t="str">
        <x:v>Sedia</x:v>
      </x:c>
      <x:c r="C4" s="46" t="str">
        <x:v>Seed T3</x:v>
      </x:c>
      <x:c r="D4" s="46" t="str">
        <x:v>Giocatore ID</x:v>
      </x:c>
      <x:c r="E4" s="46" t="str">
        <x:v>Nome</x:v>
      </x:c>
      <x:c r="F4" s="46" t="str">
        <x:v>Seed iniziale</x:v>
      </x:c>
      <x:c r="G4" s="46" t="str">
        <x:v>Punti partita</x:v>
      </x:c>
      <x:c r="H4" s="46" t="str">
        <x:v>Posizione</x:v>
      </x:c>
      <x:c r="I4" s="46" t="str">
        <x:v>Sòle</x:v>
      </x:c>
      <x:c r="J4" s="46" t="str">
        <x:v>Note</x:v>
      </x:c>
      <x:c r="K4" s="46" t="str">
        <x:v>Qualificato</x:v>
      </x:c>
      <x:c r="L4" s="46" t="str">
        <x:v>Rank terzi</x:v>
      </x:c>
      <x:c r="M4" s="46" t="str">
        <x:v>Merito T3</x:v>
      </x:c>
      <x:c r="O4" s="46" t="str">
        <x:v>Ordine</x:v>
      </x:c>
      <x:c r="P4" s="46" t="str">
        <x:v>ID</x:v>
      </x:c>
      <x:c r="Q4" s="46" t="str">
        <x:v>Nome</x:v>
      </x:c>
    </x:row>
    <x:row r="5">
      <x:c r="A5" t="str">
        <x:v>A</x:v>
      </x:c>
      <x:c r="B5" t="n">
        <x:v>1</x:v>
      </x:c>
      <x:c r="C5" t="n">
        <x:v>1</x:v>
      </x:c>
      <x:c r="D5" t="str">
        <x:f>IFERROR(INDEX(Turno_2!$P$5:$P$14,C5),"")</x:f>
      </x:c>
      <x:c r="E5" t="str">
        <x:f>IF(D5="","",IFERROR(VLOOKUP(D5,Giocatori!$A$4:$B$48,2,FALSE),""))</x:f>
      </x:c>
      <x:c r="F5" t="str">
        <x:f>IF(D5="","",INDEX(Classifica_Iniziale!$H$5:$H$44,MATCH(D5,Classifica_Iniziale!$A$5:$A$44,0)))</x:f>
      </x:c>
      <x:c r="G5" s="47"/>
      <x:c r="H5" s="47"/>
      <x:c r="I5" s="47"/>
      <x:c r="J5" s="47"/>
      <x:c r="K5" t="str">
        <x:f>IF(H5="","",IF(H5&lt;=2,"Sì",IF(AND(H5=3,L5=1),"Sì","No")))</x:f>
      </x:c>
      <x:c r="L5" t="str">
        <x:f>IF(H5&lt;&gt;3,"",1+SUMPRODUCT(--($H$5:$H$14=3),--($G$5:$G$14&lt;G5))+SUMPRODUCT(--($H$5:$H$14=3),--($G$5:$G$14=G5),--($I$5:$I$14&gt;I5))+SUMPRODUCT(--($H$5:$H$14=3),--($G$5:$G$14=G5),--($I$5:$I$14=I5),--($F$5:$F$14&lt;F5)))</x:f>
      </x:c>
      <x:c r="M5" t="str">
        <x:f>IF(K5&lt;&gt;"Sì","",1+SUMPRODUCT(--($K$5:$K$14="Sì"),--($H$5:$H$14&lt;H5))+SUMPRODUCT(--($K$5:$K$14="Sì"),--($H$5:$H$14=H5),--($G$5:$G$14&lt;G5))+SUMPRODUCT(--($K$5:$K$14="Sì"),--($H$5:$H$14=H5),--($G$5:$G$14=G5),--($I$5:$I$14&gt;I5))+SUMPRODUCT(--($K$5:$K$14="Sì"),--($H$5:$H$14=H5),--($G$5:$G$14=G5),--($I$5:$I$14=I5),--($F$5:$F$14&lt;F5)))</x:f>
      </x:c>
      <x:c r="O5" t="n">
        <x:v>1</x:v>
      </x:c>
      <x:c r="P5" t="str">
        <x:f>IFERROR(INDEX($D$5:$D$14,MATCH(O5,$M$5:$M$14,0)),"")</x:f>
      </x:c>
      <x:c r="Q5" t="str">
        <x:f>IFERROR(INDEX($E$5:$E$14,MATCH(O5,$M$5:$M$14,0)),"")</x:f>
      </x:c>
    </x:row>
    <x:row r="6">
      <x:c r="A6" t="str">
        <x:v>A</x:v>
      </x:c>
      <x:c r="B6" t="n">
        <x:v>2</x:v>
      </x:c>
      <x:c r="C6" t="n">
        <x:v>4</x:v>
      </x:c>
      <x:c r="D6" t="str">
        <x:f>IFERROR(INDEX(Turno_2!$P$5:$P$14,C6),"")</x:f>
      </x:c>
      <x:c r="E6" t="str">
        <x:f>IF(D6="","",IFERROR(VLOOKUP(D6,Giocatori!$A$4:$B$48,2,FALSE),""))</x:f>
      </x:c>
      <x:c r="F6" t="str">
        <x:f>IF(D6="","",INDEX(Classifica_Iniziale!$H$5:$H$44,MATCH(D6,Classifica_Iniziale!$A$5:$A$44,0)))</x:f>
      </x:c>
      <x:c r="G6" s="47"/>
      <x:c r="H6" s="47"/>
      <x:c r="I6" s="47"/>
      <x:c r="J6" s="47"/>
      <x:c r="K6" t="str">
        <x:f>IF(H6="","",IF(H6&lt;=2,"Sì",IF(AND(H6=3,L6=1),"Sì","No")))</x:f>
      </x:c>
      <x:c r="L6" t="str">
        <x:f>IF(H6&lt;&gt;3,"",1+SUMPRODUCT(--($H$5:$H$14=3),--($G$5:$G$14&lt;G6))+SUMPRODUCT(--($H$5:$H$14=3),--($G$5:$G$14=G6),--($I$5:$I$14&gt;I6))+SUMPRODUCT(--($H$5:$H$14=3),--($G$5:$G$14=G6),--($I$5:$I$14=I6),--($F$5:$F$14&lt;F6)))</x:f>
      </x:c>
      <x:c r="M6" t="str">
        <x:f>IF(K6&lt;&gt;"Sì","",1+SUMPRODUCT(--($K$5:$K$14="Sì"),--($H$5:$H$14&lt;H6))+SUMPRODUCT(--($K$5:$K$14="Sì"),--($H$5:$H$14=H6),--($G$5:$G$14&lt;G6))+SUMPRODUCT(--($K$5:$K$14="Sì"),--($H$5:$H$14=H6),--($G$5:$G$14=G6),--($I$5:$I$14&gt;I6))+SUMPRODUCT(--($K$5:$K$14="Sì"),--($H$5:$H$14=H6),--($G$5:$G$14=G6),--($I$5:$I$14=I6),--($F$5:$F$14&lt;F6)))</x:f>
      </x:c>
      <x:c r="O6" t="n">
        <x:v>2</x:v>
      </x:c>
      <x:c r="P6" t="str">
        <x:f>IFERROR(INDEX($D$5:$D$14,MATCH(O6,$M$5:$M$14,0)),"")</x:f>
      </x:c>
      <x:c r="Q6" t="str">
        <x:f>IFERROR(INDEX($E$5:$E$14,MATCH(O6,$M$5:$M$14,0)),"")</x:f>
      </x:c>
    </x:row>
    <x:row r="7">
      <x:c r="A7" t="str">
        <x:v>A</x:v>
      </x:c>
      <x:c r="B7" t="n">
        <x:v>3</x:v>
      </x:c>
      <x:c r="C7" t="n">
        <x:v>5</x:v>
      </x:c>
      <x:c r="D7" t="str">
        <x:f>IFERROR(INDEX(Turno_2!$P$5:$P$14,C7),"")</x:f>
      </x:c>
      <x:c r="E7" t="str">
        <x:f>IF(D7="","",IFERROR(VLOOKUP(D7,Giocatori!$A$4:$B$48,2,FALSE),""))</x:f>
      </x:c>
      <x:c r="F7" t="str">
        <x:f>IF(D7="","",INDEX(Classifica_Iniziale!$H$5:$H$44,MATCH(D7,Classifica_Iniziale!$A$5:$A$44,0)))</x:f>
      </x:c>
      <x:c r="G7" s="47"/>
      <x:c r="H7" s="47"/>
      <x:c r="I7" s="47"/>
      <x:c r="J7" s="47"/>
      <x:c r="K7" t="str">
        <x:f>IF(H7="","",IF(H7&lt;=2,"Sì",IF(AND(H7=3,L7=1),"Sì","No")))</x:f>
      </x:c>
      <x:c r="L7" t="str">
        <x:f>IF(H7&lt;&gt;3,"",1+SUMPRODUCT(--($H$5:$H$14=3),--($G$5:$G$14&lt;G7))+SUMPRODUCT(--($H$5:$H$14=3),--($G$5:$G$14=G7),--($I$5:$I$14&gt;I7))+SUMPRODUCT(--($H$5:$H$14=3),--($G$5:$G$14=G7),--($I$5:$I$14=I7),--($F$5:$F$14&lt;F7)))</x:f>
      </x:c>
      <x:c r="M7" t="str">
        <x:f>IF(K7&lt;&gt;"Sì","",1+SUMPRODUCT(--($K$5:$K$14="Sì"),--($H$5:$H$14&lt;H7))+SUMPRODUCT(--($K$5:$K$14="Sì"),--($H$5:$H$14=H7),--($G$5:$G$14&lt;G7))+SUMPRODUCT(--($K$5:$K$14="Sì"),--($H$5:$H$14=H7),--($G$5:$G$14=G7),--($I$5:$I$14&gt;I7))+SUMPRODUCT(--($K$5:$K$14="Sì"),--($H$5:$H$14=H7),--($G$5:$G$14=G7),--($I$5:$I$14=I7),--($F$5:$F$14&lt;F7)))</x:f>
      </x:c>
      <x:c r="O7" t="n">
        <x:v>3</x:v>
      </x:c>
      <x:c r="P7" t="str">
        <x:f>IFERROR(INDEX($D$5:$D$14,MATCH(O7,$M$5:$M$14,0)),"")</x:f>
      </x:c>
      <x:c r="Q7" t="str">
        <x:f>IFERROR(INDEX($E$5:$E$14,MATCH(O7,$M$5:$M$14,0)),"")</x:f>
      </x:c>
    </x:row>
    <x:row r="8">
      <x:c r="A8" t="str">
        <x:v>A</x:v>
      </x:c>
      <x:c r="B8" t="n">
        <x:v>4</x:v>
      </x:c>
      <x:c r="C8" t="n">
        <x:v>8</x:v>
      </x:c>
      <x:c r="D8" t="str">
        <x:f>IFERROR(INDEX(Turno_2!$P$5:$P$14,C8),"")</x:f>
      </x:c>
      <x:c r="E8" t="str">
        <x:f>IF(D8="","",IFERROR(VLOOKUP(D8,Giocatori!$A$4:$B$48,2,FALSE),""))</x:f>
      </x:c>
      <x:c r="F8" t="str">
        <x:f>IF(D8="","",INDEX(Classifica_Iniziale!$H$5:$H$44,MATCH(D8,Classifica_Iniziale!$A$5:$A$44,0)))</x:f>
      </x:c>
      <x:c r="G8" s="47"/>
      <x:c r="H8" s="47"/>
      <x:c r="I8" s="47"/>
      <x:c r="J8" s="47"/>
      <x:c r="K8" t="str">
        <x:f>IF(H8="","",IF(H8&lt;=2,"Sì",IF(AND(H8=3,L8=1),"Sì","No")))</x:f>
      </x:c>
      <x:c r="L8" t="str">
        <x:f>IF(H8&lt;&gt;3,"",1+SUMPRODUCT(--($H$5:$H$14=3),--($G$5:$G$14&lt;G8))+SUMPRODUCT(--($H$5:$H$14=3),--($G$5:$G$14=G8),--($I$5:$I$14&gt;I8))+SUMPRODUCT(--($H$5:$H$14=3),--($G$5:$G$14=G8),--($I$5:$I$14=I8),--($F$5:$F$14&lt;F8)))</x:f>
      </x:c>
      <x:c r="M8" t="str">
        <x:f>IF(K8&lt;&gt;"Sì","",1+SUMPRODUCT(--($K$5:$K$14="Sì"),--($H$5:$H$14&lt;H8))+SUMPRODUCT(--($K$5:$K$14="Sì"),--($H$5:$H$14=H8),--($G$5:$G$14&lt;G8))+SUMPRODUCT(--($K$5:$K$14="Sì"),--($H$5:$H$14=H8),--($G$5:$G$14=G8),--($I$5:$I$14&gt;I8))+SUMPRODUCT(--($K$5:$K$14="Sì"),--($H$5:$H$14=H8),--($G$5:$G$14=G8),--($I$5:$I$14=I8),--($F$5:$F$14&lt;F8)))</x:f>
      </x:c>
      <x:c r="O8" t="n">
        <x:v>4</x:v>
      </x:c>
      <x:c r="P8" t="str">
        <x:f>IFERROR(INDEX($D$5:$D$14,MATCH(O8,$M$5:$M$14,0)),"")</x:f>
      </x:c>
      <x:c r="Q8" t="str">
        <x:f>IFERROR(INDEX($E$5:$E$14,MATCH(O8,$M$5:$M$14,0)),"")</x:f>
      </x:c>
    </x:row>
    <x:row r="9">
      <x:c r="A9" t="str">
        <x:v>A</x:v>
      </x:c>
      <x:c r="B9" t="n">
        <x:v>5</x:v>
      </x:c>
      <x:c r="C9" t="n">
        <x:v>9</x:v>
      </x:c>
      <x:c r="D9" t="str">
        <x:f>IFERROR(INDEX(Turno_2!$P$5:$P$14,C9),"")</x:f>
      </x:c>
      <x:c r="E9" t="str">
        <x:f>IF(D9="","",IFERROR(VLOOKUP(D9,Giocatori!$A$4:$B$48,2,FALSE),""))</x:f>
      </x:c>
      <x:c r="F9" t="str">
        <x:f>IF(D9="","",INDEX(Classifica_Iniziale!$H$5:$H$44,MATCH(D9,Classifica_Iniziale!$A$5:$A$44,0)))</x:f>
      </x:c>
      <x:c r="G9" s="47"/>
      <x:c r="H9" s="47"/>
      <x:c r="I9" s="47"/>
      <x:c r="J9" s="47"/>
      <x:c r="K9" t="str">
        <x:f>IF(H9="","",IF(H9&lt;=2,"Sì",IF(AND(H9=3,L9=1),"Sì","No")))</x:f>
      </x:c>
      <x:c r="L9" t="str">
        <x:f>IF(H9&lt;&gt;3,"",1+SUMPRODUCT(--($H$5:$H$14=3),--($G$5:$G$14&lt;G9))+SUMPRODUCT(--($H$5:$H$14=3),--($G$5:$G$14=G9),--($I$5:$I$14&gt;I9))+SUMPRODUCT(--($H$5:$H$14=3),--($G$5:$G$14=G9),--($I$5:$I$14=I9),--($F$5:$F$14&lt;F9)))</x:f>
      </x:c>
      <x:c r="M9" t="str">
        <x:f>IF(K9&lt;&gt;"Sì","",1+SUMPRODUCT(--($K$5:$K$14="Sì"),--($H$5:$H$14&lt;H9))+SUMPRODUCT(--($K$5:$K$14="Sì"),--($H$5:$H$14=H9),--($G$5:$G$14&lt;G9))+SUMPRODUCT(--($K$5:$K$14="Sì"),--($H$5:$H$14=H9),--($G$5:$G$14=G9),--($I$5:$I$14&gt;I9))+SUMPRODUCT(--($K$5:$K$14="Sì"),--($H$5:$H$14=H9),--($G$5:$G$14=G9),--($I$5:$I$14=I9),--($F$5:$F$14&lt;F9)))</x:f>
      </x:c>
      <x:c r="O9" t="n">
        <x:v>5</x:v>
      </x:c>
      <x:c r="P9" t="str">
        <x:f>IFERROR(INDEX($D$5:$D$14,MATCH(O9,$M$5:$M$14,0)),"")</x:f>
      </x:c>
      <x:c r="Q9" t="str">
        <x:f>IFERROR(INDEX($E$5:$E$14,MATCH(O9,$M$5:$M$14,0)),"")</x:f>
      </x:c>
    </x:row>
    <x:row r="10">
      <x:c r="A10" t="str">
        <x:v>B</x:v>
      </x:c>
      <x:c r="B10" t="n">
        <x:v>1</x:v>
      </x:c>
      <x:c r="C10" t="n">
        <x:v>2</x:v>
      </x:c>
      <x:c r="D10" t="str">
        <x:f>IFERROR(INDEX(Turno_2!$P$5:$P$14,C10),"")</x:f>
      </x:c>
      <x:c r="E10" t="str">
        <x:f>IF(D10="","",IFERROR(VLOOKUP(D10,Giocatori!$A$4:$B$48,2,FALSE),""))</x:f>
      </x:c>
      <x:c r="F10" t="str">
        <x:f>IF(D10="","",INDEX(Classifica_Iniziale!$H$5:$H$44,MATCH(D10,Classifica_Iniziale!$A$5:$A$44,0)))</x:f>
      </x:c>
      <x:c r="G10" s="47"/>
      <x:c r="H10" s="47"/>
      <x:c r="I10" s="47"/>
      <x:c r="J10" s="47"/>
      <x:c r="K10" t="str">
        <x:f>IF(H10="","",IF(H10&lt;=2,"Sì",IF(AND(H10=3,L10=1),"Sì","No")))</x:f>
      </x:c>
      <x:c r="L10" t="str">
        <x:f>IF(H10&lt;&gt;3,"",1+SUMPRODUCT(--($H$5:$H$14=3),--($G$5:$G$14&lt;G10))+SUMPRODUCT(--($H$5:$H$14=3),--($G$5:$G$14=G10),--($I$5:$I$14&gt;I10))+SUMPRODUCT(--($H$5:$H$14=3),--($G$5:$G$14=G10),--($I$5:$I$14=I10),--($F$5:$F$14&lt;F10)))</x:f>
      </x:c>
      <x:c r="M10" t="str">
        <x:f>IF(K10&lt;&gt;"Sì","",1+SUMPRODUCT(--($K$5:$K$14="Sì"),--($H$5:$H$14&lt;H10))+SUMPRODUCT(--($K$5:$K$14="Sì"),--($H$5:$H$14=H10),--($G$5:$G$14&lt;G10))+SUMPRODUCT(--($K$5:$K$14="Sì"),--($H$5:$H$14=H10),--($G$5:$G$14=G10),--($I$5:$I$14&gt;I10))+SUMPRODUCT(--($K$5:$K$14="Sì"),--($H$5:$H$14=H10),--($G$5:$G$14=G10),--($I$5:$I$14=I10),--($F$5:$F$14&lt;F10)))</x:f>
      </x:c>
    </x:row>
    <x:row r="11">
      <x:c r="A11" t="str">
        <x:v>B</x:v>
      </x:c>
      <x:c r="B11" t="n">
        <x:v>2</x:v>
      </x:c>
      <x:c r="C11" t="n">
        <x:v>3</x:v>
      </x:c>
      <x:c r="D11" t="str">
        <x:f>IFERROR(INDEX(Turno_2!$P$5:$P$14,C11),"")</x:f>
      </x:c>
      <x:c r="E11" t="str">
        <x:f>IF(D11="","",IFERROR(VLOOKUP(D11,Giocatori!$A$4:$B$48,2,FALSE),""))</x:f>
      </x:c>
      <x:c r="F11" t="str">
        <x:f>IF(D11="","",INDEX(Classifica_Iniziale!$H$5:$H$44,MATCH(D11,Classifica_Iniziale!$A$5:$A$44,0)))</x:f>
      </x:c>
      <x:c r="G11" s="47"/>
      <x:c r="H11" s="47"/>
      <x:c r="I11" s="47"/>
      <x:c r="J11" s="47"/>
      <x:c r="K11" t="str">
        <x:f>IF(H11="","",IF(H11&lt;=2,"Sì",IF(AND(H11=3,L11=1),"Sì","No")))</x:f>
      </x:c>
      <x:c r="L11" t="str">
        <x:f>IF(H11&lt;&gt;3,"",1+SUMPRODUCT(--($H$5:$H$14=3),--($G$5:$G$14&lt;G11))+SUMPRODUCT(--($H$5:$H$14=3),--($G$5:$G$14=G11),--($I$5:$I$14&gt;I11))+SUMPRODUCT(--($H$5:$H$14=3),--($G$5:$G$14=G11),--($I$5:$I$14=I11),--($F$5:$F$14&lt;F11)))</x:f>
      </x:c>
      <x:c r="M11" t="str">
        <x:f>IF(K11&lt;&gt;"Sì","",1+SUMPRODUCT(--($K$5:$K$14="Sì"),--($H$5:$H$14&lt;H11))+SUMPRODUCT(--($K$5:$K$14="Sì"),--($H$5:$H$14=H11),--($G$5:$G$14&lt;G11))+SUMPRODUCT(--($K$5:$K$14="Sì"),--($H$5:$H$14=H11),--($G$5:$G$14=G11),--($I$5:$I$14&gt;I11))+SUMPRODUCT(--($K$5:$K$14="Sì"),--($H$5:$H$14=H11),--($G$5:$G$14=G11),--($I$5:$I$14=I11),--($F$5:$F$14&lt;F11)))</x:f>
      </x:c>
    </x:row>
    <x:row r="12">
      <x:c r="A12" t="str">
        <x:v>B</x:v>
      </x:c>
      <x:c r="B12" t="n">
        <x:v>3</x:v>
      </x:c>
      <x:c r="C12" t="n">
        <x:v>6</x:v>
      </x:c>
      <x:c r="D12" t="str">
        <x:f>IFERROR(INDEX(Turno_2!$P$5:$P$14,C12),"")</x:f>
      </x:c>
      <x:c r="E12" t="str">
        <x:f>IF(D12="","",IFERROR(VLOOKUP(D12,Giocatori!$A$4:$B$48,2,FALSE),""))</x:f>
      </x:c>
      <x:c r="F12" t="str">
        <x:f>IF(D12="","",INDEX(Classifica_Iniziale!$H$5:$H$44,MATCH(D12,Classifica_Iniziale!$A$5:$A$44,0)))</x:f>
      </x:c>
      <x:c r="G12" s="47"/>
      <x:c r="H12" s="47"/>
      <x:c r="I12" s="47"/>
      <x:c r="J12" s="47"/>
      <x:c r="K12" t="str">
        <x:f>IF(H12="","",IF(H12&lt;=2,"Sì",IF(AND(H12=3,L12=1),"Sì","No")))</x:f>
      </x:c>
      <x:c r="L12" t="str">
        <x:f>IF(H12&lt;&gt;3,"",1+SUMPRODUCT(--($H$5:$H$14=3),--($G$5:$G$14&lt;G12))+SUMPRODUCT(--($H$5:$H$14=3),--($G$5:$G$14=G12),--($I$5:$I$14&gt;I12))+SUMPRODUCT(--($H$5:$H$14=3),--($G$5:$G$14=G12),--($I$5:$I$14=I12),--($F$5:$F$14&lt;F12)))</x:f>
      </x:c>
      <x:c r="M12" t="str">
        <x:f>IF(K12&lt;&gt;"Sì","",1+SUMPRODUCT(--($K$5:$K$14="Sì"),--($H$5:$H$14&lt;H12))+SUMPRODUCT(--($K$5:$K$14="Sì"),--($H$5:$H$14=H12),--($G$5:$G$14&lt;G12))+SUMPRODUCT(--($K$5:$K$14="Sì"),--($H$5:$H$14=H12),--($G$5:$G$14=G12),--($I$5:$I$14&gt;I12))+SUMPRODUCT(--($K$5:$K$14="Sì"),--($H$5:$H$14=H12),--($G$5:$G$14=G12),--($I$5:$I$14=I12),--($F$5:$F$14&lt;F12)))</x:f>
      </x:c>
    </x:row>
    <x:row r="13">
      <x:c r="A13" t="str">
        <x:v>B</x:v>
      </x:c>
      <x:c r="B13" t="n">
        <x:v>4</x:v>
      </x:c>
      <x:c r="C13" t="n">
        <x:v>7</x:v>
      </x:c>
      <x:c r="D13" t="str">
        <x:f>IFERROR(INDEX(Turno_2!$P$5:$P$14,C13),"")</x:f>
      </x:c>
      <x:c r="E13" t="str">
        <x:f>IF(D13="","",IFERROR(VLOOKUP(D13,Giocatori!$A$4:$B$48,2,FALSE),""))</x:f>
      </x:c>
      <x:c r="F13" t="str">
        <x:f>IF(D13="","",INDEX(Classifica_Iniziale!$H$5:$H$44,MATCH(D13,Classifica_Iniziale!$A$5:$A$44,0)))</x:f>
      </x:c>
      <x:c r="G13" s="47"/>
      <x:c r="H13" s="47"/>
      <x:c r="I13" s="47"/>
      <x:c r="J13" s="47"/>
      <x:c r="K13" t="str">
        <x:f>IF(H13="","",IF(H13&lt;=2,"Sì",IF(AND(H13=3,L13=1),"Sì","No")))</x:f>
      </x:c>
      <x:c r="L13" t="str">
        <x:f>IF(H13&lt;&gt;3,"",1+SUMPRODUCT(--($H$5:$H$14=3),--($G$5:$G$14&lt;G13))+SUMPRODUCT(--($H$5:$H$14=3),--($G$5:$G$14=G13),--($I$5:$I$14&gt;I13))+SUMPRODUCT(--($H$5:$H$14=3),--($G$5:$G$14=G13),--($I$5:$I$14=I13),--($F$5:$F$14&lt;F13)))</x:f>
      </x:c>
      <x:c r="M13" t="str">
        <x:f>IF(K13&lt;&gt;"Sì","",1+SUMPRODUCT(--($K$5:$K$14="Sì"),--($H$5:$H$14&lt;H13))+SUMPRODUCT(--($K$5:$K$14="Sì"),--($H$5:$H$14=H13),--($G$5:$G$14&lt;G13))+SUMPRODUCT(--($K$5:$K$14="Sì"),--($H$5:$H$14=H13),--($G$5:$G$14=G13),--($I$5:$I$14&gt;I13))+SUMPRODUCT(--($K$5:$K$14="Sì"),--($H$5:$H$14=H13),--($G$5:$G$14=G13),--($I$5:$I$14=I13),--($F$5:$F$14&lt;F13)))</x:f>
      </x:c>
    </x:row>
    <x:row r="14">
      <x:c r="A14" t="str">
        <x:v>B</x:v>
      </x:c>
      <x:c r="B14" t="n">
        <x:v>5</x:v>
      </x:c>
      <x:c r="C14" t="n">
        <x:v>10</x:v>
      </x:c>
      <x:c r="D14" t="str">
        <x:f>IFERROR(INDEX(Turno_2!$P$5:$P$14,C14),"")</x:f>
      </x:c>
      <x:c r="E14" t="str">
        <x:f>IF(D14="","",IFERROR(VLOOKUP(D14,Giocatori!$A$4:$B$48,2,FALSE),""))</x:f>
      </x:c>
      <x:c r="F14" t="str">
        <x:f>IF(D14="","",INDEX(Classifica_Iniziale!$H$5:$H$44,MATCH(D14,Classifica_Iniziale!$A$5:$A$44,0)))</x:f>
      </x:c>
      <x:c r="G14" s="47"/>
      <x:c r="H14" s="47"/>
      <x:c r="I14" s="47"/>
      <x:c r="J14" s="47"/>
      <x:c r="K14" t="str">
        <x:f>IF(H14="","",IF(H14&lt;=2,"Sì",IF(AND(H14=3,L14=1),"Sì","No")))</x:f>
      </x:c>
      <x:c r="L14" t="str">
        <x:f>IF(H14&lt;&gt;3,"",1+SUMPRODUCT(--($H$5:$H$14=3),--($G$5:$G$14&lt;G14))+SUMPRODUCT(--($H$5:$H$14=3),--($G$5:$G$14=G14),--($I$5:$I$14&gt;I14))+SUMPRODUCT(--($H$5:$H$14=3),--($G$5:$G$14=G14),--($I$5:$I$14=I14),--($F$5:$F$14&lt;F14)))</x:f>
      </x:c>
      <x:c r="M14" t="str">
        <x:f>IF(K14&lt;&gt;"Sì","",1+SUMPRODUCT(--($K$5:$K$14="Sì"),--($H$5:$H$14&lt;H14))+SUMPRODUCT(--($K$5:$K$14="Sì"),--($H$5:$H$14=H14),--($G$5:$G$14&lt;G14))+SUMPRODUCT(--($K$5:$K$14="Sì"),--($H$5:$H$14=H14),--($G$5:$G$14=G14),--($I$5:$I$14&gt;I14))+SUMPRODUCT(--($K$5:$K$14="Sì"),--($H$5:$H$14=H14),--($G$5:$G$14=G14),--($I$5:$I$14=I14),--($F$5:$F$14&lt;F14)))</x:f>
      </x:c>
    </x:row>
  </x:sheetData>
  <x:mergeCells>
    <x:mergeCell ref="A1:M1"/>
    <x:mergeCell ref="O1:Q1"/>
  </x:mergeCells>
  <x:conditionalFormatting sqref="K5:K14">
    <x:cfRule type="expression" dxfId="2" priority="1">
      <x:formula>K5="Sì"</x:formula>
    </x:cfRule>
  </x:conditionalFormatting>
  <x:dataValidations count="1">
    <x:dataValidation type="list" sqref="H5:H14">
      <x:formula1>"1,2,3,4,5"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2" hidden="0" customWidth="1"/>
    <x:col min="4" max="4" width="23" hidden="0" customWidth="1"/>
    <x:col min="5" max="5" width="12" hidden="0" customWidth="1"/>
    <x:col min="6" max="6" width="13" hidden="0" customWidth="1"/>
    <x:col min="7" max="7" width="13" hidden="0" customWidth="1"/>
    <x:col min="8" max="8" width="8" hidden="0" customWidth="1"/>
    <x:col min="9" max="9" width="22" hidden="0" customWidth="1"/>
    <x:col min="11" max="11" width="10" hidden="0" customWidth="1"/>
    <x:col min="12" max="12" width="9" hidden="0" customWidth="1"/>
    <x:col min="13" max="13" width="23" hidden="0" customWidth="1"/>
    <x:col min="14" max="14" width="12" hidden="0" customWidth="1"/>
  </x:cols>
  <x:sheetData>
    <x:row r="1">
      <x:c r="A1" s="42" t="str">
        <x:v>TAVOLO FINALE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 t="str">
        <x:v>CLASSIFICA FINALE</x:v>
      </x:c>
      <x:c r="L1" s="42"/>
      <x:c r="M1" s="42"/>
      <x:c r="N1" s="42"/>
      <x:c r="O1" s="49"/>
      <x:c r="P1" s="49"/>
      <x:c r="Q1" s="49"/>
    </x:row>
    <x:row r="2">
      <x:c r="A2" t="str">
        <x:v>5 finalisti. La posizione al tavolo determina la classifica finale del torneo.</x:v>
      </x:c>
    </x:row>
    <x:row r="4">
      <x:c r="A4" s="46" t="str">
        <x:v>Sedia</x:v>
      </x:c>
      <x:c r="B4" s="46" t="str">
        <x:v>Ordine accesso</x:v>
      </x:c>
      <x:c r="C4" s="46" t="str">
        <x:v>Giocatore ID</x:v>
      </x:c>
      <x:c r="D4" s="46" t="str">
        <x:v>Nome</x:v>
      </x:c>
      <x:c r="E4" s="46" t="str">
        <x:v>Seed iniziale</x:v>
      </x:c>
      <x:c r="F4" s="46" t="str">
        <x:v>Punti partita</x:v>
      </x:c>
      <x:c r="G4" s="46" t="str">
        <x:v>Posizione finale</x:v>
      </x:c>
      <x:c r="H4" s="46" t="str">
        <x:v>Sòle</x:v>
      </x:c>
      <x:c r="I4" s="46" t="str">
        <x:v>Note</x:v>
      </x:c>
      <x:c r="K4" s="46" t="str">
        <x:v>Posizione</x:v>
      </x:c>
      <x:c r="L4" s="46" t="str">
        <x:v>ID</x:v>
      </x:c>
      <x:c r="M4" s="46" t="str">
        <x:v>Nome</x:v>
      </x:c>
      <x:c r="N4" s="46" t="str">
        <x:v>Seed iniziale</x:v>
      </x:c>
    </x:row>
    <x:row r="5">
      <x:c r="A5" t="n">
        <x:v>1</x:v>
      </x:c>
      <x:c r="B5" t="n">
        <x:v>1</x:v>
      </x:c>
      <x:c r="C5" t="str">
        <x:f>IFERROR(INDEX(Turno_3!$P$5:$P$9,B5),"")</x:f>
      </x:c>
      <x:c r="D5" t="str">
        <x:f>IF(C5="","",IFERROR(VLOOKUP(C5,Giocatori!$A$4:$B$48,2,FALSE),""))</x:f>
      </x:c>
      <x:c r="E5" t="str">
        <x:f>IF(C5="","",INDEX(Classifica_Iniziale!$H$5:$H$44,MATCH(C5,Classifica_Iniziale!$A$5:$A$44,0)))</x:f>
      </x:c>
      <x:c r="F5" s="47"/>
      <x:c r="G5" s="47"/>
      <x:c r="H5" s="47"/>
      <x:c r="I5" s="47"/>
      <x:c r="K5" t="n">
        <x:v>1</x:v>
      </x:c>
      <x:c r="L5" t="str">
        <x:f>IFERROR(INDEX($C$5:$C$9,MATCH(K5,$G$5:$G$9,0)),"")</x:f>
      </x:c>
      <x:c r="M5" t="str">
        <x:f>IFERROR(INDEX($D$5:$D$9,MATCH(K5,$G$5:$G$9,0)),"")</x:f>
      </x:c>
      <x:c r="N5" t="str">
        <x:f>IFERROR(INDEX($E$5:$E$9,MATCH(K5,$G$5:$G$9,0)),"")</x:f>
      </x:c>
    </x:row>
    <x:row r="6">
      <x:c r="A6" t="n">
        <x:v>2</x:v>
      </x:c>
      <x:c r="B6" t="n">
        <x:v>2</x:v>
      </x:c>
      <x:c r="C6" t="str">
        <x:f>IFERROR(INDEX(Turno_3!$P$5:$P$9,B6),"")</x:f>
      </x:c>
      <x:c r="D6" t="str">
        <x:f>IF(C6="","",IFERROR(VLOOKUP(C6,Giocatori!$A$4:$B$48,2,FALSE),""))</x:f>
      </x:c>
      <x:c r="E6" t="str">
        <x:f>IF(C6="","",INDEX(Classifica_Iniziale!$H$5:$H$44,MATCH(C6,Classifica_Iniziale!$A$5:$A$44,0)))</x:f>
      </x:c>
      <x:c r="F6" s="47"/>
      <x:c r="G6" s="47"/>
      <x:c r="H6" s="47"/>
      <x:c r="I6" s="47"/>
      <x:c r="K6" t="n">
        <x:v>2</x:v>
      </x:c>
      <x:c r="L6" t="str">
        <x:f>IFERROR(INDEX($C$5:$C$9,MATCH(K6,$G$5:$G$9,0)),"")</x:f>
      </x:c>
      <x:c r="M6" t="str">
        <x:f>IFERROR(INDEX($D$5:$D$9,MATCH(K6,$G$5:$G$9,0)),"")</x:f>
      </x:c>
      <x:c r="N6" t="str">
        <x:f>IFERROR(INDEX($E$5:$E$9,MATCH(K6,$G$5:$G$9,0)),"")</x:f>
      </x:c>
    </x:row>
    <x:row r="7">
      <x:c r="A7" t="n">
        <x:v>3</x:v>
      </x:c>
      <x:c r="B7" t="n">
        <x:v>3</x:v>
      </x:c>
      <x:c r="C7" t="str">
        <x:f>IFERROR(INDEX(Turno_3!$P$5:$P$9,B7),"")</x:f>
      </x:c>
      <x:c r="D7" t="str">
        <x:f>IF(C7="","",IFERROR(VLOOKUP(C7,Giocatori!$A$4:$B$48,2,FALSE),""))</x:f>
      </x:c>
      <x:c r="E7" t="str">
        <x:f>IF(C7="","",INDEX(Classifica_Iniziale!$H$5:$H$44,MATCH(C7,Classifica_Iniziale!$A$5:$A$44,0)))</x:f>
      </x:c>
      <x:c r="F7" s="47"/>
      <x:c r="G7" s="47"/>
      <x:c r="H7" s="47"/>
      <x:c r="I7" s="47"/>
      <x:c r="K7" t="n">
        <x:v>3</x:v>
      </x:c>
      <x:c r="L7" t="str">
        <x:f>IFERROR(INDEX($C$5:$C$9,MATCH(K7,$G$5:$G$9,0)),"")</x:f>
      </x:c>
      <x:c r="M7" t="str">
        <x:f>IFERROR(INDEX($D$5:$D$9,MATCH(K7,$G$5:$G$9,0)),"")</x:f>
      </x:c>
      <x:c r="N7" t="str">
        <x:f>IFERROR(INDEX($E$5:$E$9,MATCH(K7,$G$5:$G$9,0)),"")</x:f>
      </x:c>
    </x:row>
    <x:row r="8">
      <x:c r="A8" t="n">
        <x:v>4</x:v>
      </x:c>
      <x:c r="B8" t="n">
        <x:v>4</x:v>
      </x:c>
      <x:c r="C8" t="str">
        <x:f>IFERROR(INDEX(Turno_3!$P$5:$P$9,B8),"")</x:f>
      </x:c>
      <x:c r="D8" t="str">
        <x:f>IF(C8="","",IFERROR(VLOOKUP(C8,Giocatori!$A$4:$B$48,2,FALSE),""))</x:f>
      </x:c>
      <x:c r="E8" t="str">
        <x:f>IF(C8="","",INDEX(Classifica_Iniziale!$H$5:$H$44,MATCH(C8,Classifica_Iniziale!$A$5:$A$44,0)))</x:f>
      </x:c>
      <x:c r="F8" s="47"/>
      <x:c r="G8" s="47"/>
      <x:c r="H8" s="47"/>
      <x:c r="I8" s="47"/>
      <x:c r="K8" t="n">
        <x:v>4</x:v>
      </x:c>
      <x:c r="L8" t="str">
        <x:f>IFERROR(INDEX($C$5:$C$9,MATCH(K8,$G$5:$G$9,0)),"")</x:f>
      </x:c>
      <x:c r="M8" t="str">
        <x:f>IFERROR(INDEX($D$5:$D$9,MATCH(K8,$G$5:$G$9,0)),"")</x:f>
      </x:c>
      <x:c r="N8" t="str">
        <x:f>IFERROR(INDEX($E$5:$E$9,MATCH(K8,$G$5:$G$9,0)),"")</x:f>
      </x:c>
    </x:row>
    <x:row r="9">
      <x:c r="A9" t="n">
        <x:v>5</x:v>
      </x:c>
      <x:c r="B9" t="n">
        <x:v>5</x:v>
      </x:c>
      <x:c r="C9" t="str">
        <x:f>IFERROR(INDEX(Turno_3!$P$5:$P$9,B9),"")</x:f>
      </x:c>
      <x:c r="D9" t="str">
        <x:f>IF(C9="","",IFERROR(VLOOKUP(C9,Giocatori!$A$4:$B$48,2,FALSE),""))</x:f>
      </x:c>
      <x:c r="E9" t="str">
        <x:f>IF(C9="","",INDEX(Classifica_Iniziale!$H$5:$H$44,MATCH(C9,Classifica_Iniziale!$A$5:$A$44,0)))</x:f>
      </x:c>
      <x:c r="F9" s="47"/>
      <x:c r="G9" s="47"/>
      <x:c r="H9" s="47"/>
      <x:c r="I9" s="47"/>
      <x:c r="K9" t="n">
        <x:v>5</x:v>
      </x:c>
      <x:c r="L9" t="str">
        <x:f>IFERROR(INDEX($C$5:$C$9,MATCH(K9,$G$5:$G$9,0)),"")</x:f>
      </x:c>
      <x:c r="M9" t="str">
        <x:f>IFERROR(INDEX($D$5:$D$9,MATCH(K9,$G$5:$G$9,0)),"")</x:f>
      </x:c>
      <x:c r="N9" t="str">
        <x:f>IFERROR(INDEX($E$5:$E$9,MATCH(K9,$G$5:$G$9,0)),"")</x:f>
      </x:c>
    </x:row>
  </x:sheetData>
  <x:mergeCells>
    <x:mergeCell ref="A1:I1"/>
    <x:mergeCell ref="K1:N1"/>
  </x:mergeCells>
  <x:dataValidations count="1">
    <x:dataValidation type="list" sqref="G5:G9">
      <x:formula1>"1,2,3,4,5"</x:formula1>
    </x:dataValidation>
  </x:dataValidations>
  <x:pageMargins left="0.7" right="0.7" top="0.75" bottom="0.75" header="0.3" footer="0.3"/>
</x:worksheet>
</file>